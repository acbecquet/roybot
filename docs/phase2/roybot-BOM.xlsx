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Too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1F3A8A"/>
      <sz val="15"/>
    </font>
    <font>
      <i val="1"/>
      <color rgb="00666666"/>
      <sz val="10"/>
    </font>
    <font>
      <b val="1"/>
      <color rgb="00FFFFFF"/>
      <sz val="11"/>
    </font>
    <font>
      <b val="1"/>
    </font>
    <font>
      <b val="1"/>
      <color rgb="00B3261E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2">
    <border>
      <left/>
      <right/>
      <top/>
      <bottom/>
      <diagonal/>
    </border>
    <border>
      <left style="thin">
        <color rgb="00D0D4DC"/>
      </left>
      <right style="thin">
        <color rgb="00D0D4DC"/>
      </right>
      <top style="thin">
        <color rgb="00D0D4DC"/>
      </top>
      <bottom style="thin">
        <color rgb="00D0D4D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BE3E0"/>
        </patternFill>
      </fill>
    </dxf>
    <dxf>
      <fill>
        <patternFill patternType="solid">
          <fgColor rgb="00E3F2E5"/>
        </patternFill>
      </fill>
    </dxf>
    <dxf>
      <fill>
        <patternFill patternType="solid">
          <fgColor rgb="00FBF3DA"/>
        </patternFill>
      </fill>
    </dxf>
    <dxf>
      <fill>
        <patternFill patternType="solid">
          <fgColor rgb="00EC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5" customWidth="1" min="3" max="3"/>
    <col width="46" customWidth="1" min="4" max="4"/>
    <col width="16" customWidth="1" min="5" max="5"/>
    <col width="24" customWidth="1" min="6" max="6"/>
    <col width="14" customWidth="1" min="7" max="7"/>
    <col width="14" customWidth="1" min="8" max="8"/>
    <col width="26" customWidth="1" min="9" max="9"/>
  </cols>
  <sheetData>
    <row r="1">
      <c r="A1" s="1" t="inlineStr">
        <is>
          <t>Roybot - Phase 2 Bill of Materials</t>
        </is>
      </c>
    </row>
    <row r="2" ht="28" customHeight="1">
      <c r="A2" s="2" t="inlineStr">
        <is>
          <t>Prices are rough ballparks for budgeting, not quotes. Status drives the colors and the 'still to buy' total below. Edit freely - this sheet is yours to maintain.</t>
        </is>
      </c>
    </row>
    <row r="4">
      <c r="A4" s="3" t="inlineStr">
        <is>
          <t>Category</t>
        </is>
      </c>
      <c r="B4" s="3" t="inlineStr">
        <is>
          <t>Component</t>
        </is>
      </c>
      <c r="C4" s="3" t="inlineStr">
        <is>
          <t>Qty</t>
        </is>
      </c>
      <c r="D4" s="3" t="inlineStr">
        <is>
          <t>Key spec / purpose</t>
        </is>
      </c>
      <c r="E4" s="3" t="inlineStr">
        <is>
          <t>Status</t>
        </is>
      </c>
      <c r="F4" s="3" t="inlineStr">
        <is>
          <t>Suggested source</t>
        </is>
      </c>
      <c r="G4" s="3" t="inlineStr">
        <is>
          <t>Est. unit (USD)</t>
        </is>
      </c>
      <c r="H4" s="3" t="inlineStr">
        <is>
          <t>Est. line (USD)</t>
        </is>
      </c>
      <c r="I4" s="3" t="inlineStr">
        <is>
          <t>Link / Part # (you fill)</t>
        </is>
      </c>
    </row>
    <row r="5">
      <c r="A5" s="4" t="inlineStr">
        <is>
          <t>Drivetrain</t>
        </is>
      </c>
      <c r="B5" s="4" t="inlineStr">
        <is>
          <t>Adafruit 3216 Mini Round Robot Chassis Kit</t>
        </is>
      </c>
      <c r="C5" s="4" t="n">
        <v>1</v>
      </c>
      <c r="D5" s="5" t="inlineStr">
        <is>
          <t>The robot body (matches the sim twin): round aluminum frame + 2 DC motors + 2 wheels + caster ball</t>
        </is>
      </c>
      <c r="E5" s="4" t="inlineStr">
        <is>
          <t>Bought</t>
        </is>
      </c>
      <c r="F5" s="4" t="inlineStr">
        <is>
          <t>Adafruit / reseller</t>
        </is>
      </c>
      <c r="G5" s="6" t="n">
        <v>20</v>
      </c>
      <c r="H5" s="6">
        <f>C5*G5</f>
        <v/>
      </c>
      <c r="I5" s="4" t="inlineStr"/>
    </row>
    <row r="6">
      <c r="A6" s="4" t="inlineStr">
        <is>
          <t>Drivetrain</t>
        </is>
      </c>
      <c r="B6" s="4" t="inlineStr">
        <is>
          <t xml:space="preserve">  - 2x DC drive motor (3-6 V)</t>
        </is>
      </c>
      <c r="C6" s="4" t="n">
        <v>2</v>
      </c>
      <c r="D6" s="5" t="inlineStr">
        <is>
          <t>In the 3216 kit. Open-loop (no encoder)</t>
        </is>
      </c>
      <c r="E6" s="4" t="inlineStr">
        <is>
          <t>Included in kit</t>
        </is>
      </c>
      <c r="F6" s="4" t="inlineStr">
        <is>
          <t>(3216 kit)</t>
        </is>
      </c>
      <c r="G6" s="6" t="n">
        <v>0</v>
      </c>
      <c r="H6" s="6">
        <f>C6*G6</f>
        <v/>
      </c>
      <c r="I6" s="4" t="inlineStr"/>
    </row>
    <row r="7">
      <c r="A7" s="4" t="inlineStr">
        <is>
          <t>Drivetrain</t>
        </is>
      </c>
      <c r="B7" s="4" t="inlineStr">
        <is>
          <t xml:space="preserve">  - 2x wheel + tire</t>
        </is>
      </c>
      <c r="C7" s="4" t="n">
        <v>2</v>
      </c>
      <c r="D7" s="5" t="inlineStr">
        <is>
          <t>In the 3216 kit</t>
        </is>
      </c>
      <c r="E7" s="4" t="inlineStr">
        <is>
          <t>Included in kit</t>
        </is>
      </c>
      <c r="F7" s="4" t="inlineStr">
        <is>
          <t>(3216 kit)</t>
        </is>
      </c>
      <c r="G7" s="6" t="n">
        <v>0</v>
      </c>
      <c r="H7" s="6">
        <f>C7*G7</f>
        <v/>
      </c>
      <c r="I7" s="4" t="inlineStr"/>
    </row>
    <row r="8">
      <c r="A8" s="4" t="inlineStr">
        <is>
          <t>Drivetrain</t>
        </is>
      </c>
      <c r="B8" s="4" t="inlineStr">
        <is>
          <t xml:space="preserve">  - caster ball</t>
        </is>
      </c>
      <c r="C8" s="4" t="n">
        <v>1</v>
      </c>
      <c r="D8" s="5" t="inlineStr">
        <is>
          <t>In the 3216 kit; free-sliding 3rd contact</t>
        </is>
      </c>
      <c r="E8" s="4" t="inlineStr">
        <is>
          <t>Included in kit</t>
        </is>
      </c>
      <c r="F8" s="4" t="inlineStr">
        <is>
          <t>(3216 kit)</t>
        </is>
      </c>
      <c r="G8" s="6" t="n">
        <v>0</v>
      </c>
      <c r="H8" s="6">
        <f>C8*G8</f>
        <v/>
      </c>
      <c r="I8" s="4" t="inlineStr"/>
    </row>
    <row r="9">
      <c r="A9" s="4" t="inlineStr">
        <is>
          <t>Drivetrain</t>
        </is>
      </c>
      <c r="B9" s="4" t="inlineStr">
        <is>
          <t>TB6612FNG dual H-bridge breakout</t>
        </is>
      </c>
      <c r="C9" s="4" t="n">
        <v>1</v>
      </c>
      <c r="D9" s="5" t="inlineStr">
        <is>
          <t>Motor driver for the two DC motors. Chosen over DRV8833/L298N (efficiency)</t>
        </is>
      </c>
      <c r="E9" s="4" t="inlineStr">
        <is>
          <t>To buy</t>
        </is>
      </c>
      <c r="F9" s="4" t="inlineStr">
        <is>
          <t>Adafruit / Pololu / Amazon</t>
        </is>
      </c>
      <c r="G9" s="6" t="n">
        <v>5</v>
      </c>
      <c r="H9" s="6">
        <f>C9*G9</f>
        <v/>
      </c>
      <c r="I9" s="4" t="inlineStr"/>
    </row>
    <row r="10">
      <c r="A10" s="4" t="inlineStr">
        <is>
          <t>Drivetrain</t>
        </is>
      </c>
      <c r="B10" s="4" t="inlineStr">
        <is>
          <t>N20 gearmotor w/ magnetic encoder (UPGRADE)</t>
        </is>
      </c>
      <c r="C10" s="4" t="n">
        <v>2</v>
      </c>
      <c r="D10" s="5" t="inlineStr">
        <is>
          <t>LATER: closed-loop speed + odometry for self-docking (#6). Needs N20 brackets</t>
        </is>
      </c>
      <c r="E10" s="4" t="inlineStr">
        <is>
          <t>Later</t>
        </is>
      </c>
      <c r="F10" s="4" t="inlineStr">
        <is>
          <t>Pololu</t>
        </is>
      </c>
      <c r="G10" s="6" t="n">
        <v>8</v>
      </c>
      <c r="H10" s="6">
        <f>C10*G10</f>
        <v/>
      </c>
      <c r="I10" s="4" t="inlineStr"/>
    </row>
    <row r="11">
      <c r="A11" s="4" t="inlineStr">
        <is>
          <t>Compute</t>
        </is>
      </c>
      <c r="B11" s="4" t="inlineStr">
        <is>
          <t>Raspberry Pi Zero 2 W</t>
        </is>
      </c>
      <c r="C11" s="4" t="n">
        <v>1</v>
      </c>
      <c r="D11" s="5" t="inlineStr">
        <is>
          <t>Onboard brain; runs policy MLP @50 Hz</t>
        </is>
      </c>
      <c r="E11" s="4" t="inlineStr">
        <is>
          <t>Have</t>
        </is>
      </c>
      <c r="F11" s="4" t="inlineStr">
        <is>
          <t>(GrowBot carry-over)</t>
        </is>
      </c>
      <c r="G11" s="6" t="n">
        <v>15</v>
      </c>
      <c r="H11" s="6">
        <f>C11*G11</f>
        <v/>
      </c>
      <c r="I11" s="4" t="inlineStr"/>
    </row>
    <row r="12">
      <c r="A12" s="4" t="inlineStr">
        <is>
          <t>Compute</t>
        </is>
      </c>
      <c r="B12" s="4" t="inlineStr">
        <is>
          <t>microSD card 32 GB</t>
        </is>
      </c>
      <c r="C12" s="4" t="n">
        <v>1</v>
      </c>
      <c r="D12" s="5" t="inlineStr">
        <is>
          <t>Raspberry Pi OS + roybot code</t>
        </is>
      </c>
      <c r="E12" s="4" t="inlineStr">
        <is>
          <t>To buy</t>
        </is>
      </c>
      <c r="F12" s="4" t="inlineStr">
        <is>
          <t>Amazon</t>
        </is>
      </c>
      <c r="G12" s="6" t="n">
        <v>8</v>
      </c>
      <c r="H12" s="6">
        <f>C12*G12</f>
        <v/>
      </c>
      <c r="I12" s="4" t="inlineStr"/>
    </row>
    <row r="13">
      <c r="A13" s="4" t="inlineStr">
        <is>
          <t>Compute</t>
        </is>
      </c>
      <c r="B13" s="4" t="inlineStr">
        <is>
          <t>40-pin GPIO header (if Pi unheadered)</t>
        </is>
      </c>
      <c r="C13" s="4" t="n">
        <v>1</v>
      </c>
      <c r="D13" s="5" t="inlineStr">
        <is>
          <t>Solder header for motor/sensor wiring</t>
        </is>
      </c>
      <c r="E13" s="4" t="inlineStr">
        <is>
          <t>To buy</t>
        </is>
      </c>
      <c r="F13" s="4" t="inlineStr">
        <is>
          <t>Adafruit</t>
        </is>
      </c>
      <c r="G13" s="6" t="n">
        <v>2</v>
      </c>
      <c r="H13" s="6">
        <f>C13*G13</f>
        <v/>
      </c>
      <c r="I13" s="4" t="inlineStr"/>
    </row>
    <row r="14">
      <c r="A14" s="4" t="inlineStr">
        <is>
          <t>Sensors</t>
        </is>
      </c>
      <c r="B14" s="4" t="inlineStr">
        <is>
          <t>MPU-6050 IMU</t>
        </is>
      </c>
      <c r="C14" s="4" t="n">
        <v>1</v>
      </c>
      <c r="D14" s="5" t="inlineStr">
        <is>
          <t>Roll/pitch + tip/stall reflexes; proprioception for the policy</t>
        </is>
      </c>
      <c r="E14" s="4" t="inlineStr">
        <is>
          <t>Have</t>
        </is>
      </c>
      <c r="F14" s="4" t="inlineStr">
        <is>
          <t>(GrowBot carry-over)</t>
        </is>
      </c>
      <c r="G14" s="6" t="n">
        <v>4</v>
      </c>
      <c r="H14" s="6">
        <f>C14*G14</f>
        <v/>
      </c>
      <c r="I14" s="4" t="inlineStr"/>
    </row>
    <row r="15">
      <c r="A15" s="4" t="inlineStr">
        <is>
          <t>Sensors</t>
        </is>
      </c>
      <c r="B15" s="4" t="inlineStr">
        <is>
          <t>OV5647 camera (CSI)</t>
        </is>
      </c>
      <c r="C15" s="4" t="n">
        <v>1</v>
      </c>
      <c r="D15" s="5" t="inlineStr">
        <is>
          <t>Cat tracking (perception, sub-project #2)</t>
        </is>
      </c>
      <c r="E15" s="4" t="inlineStr">
        <is>
          <t>Have</t>
        </is>
      </c>
      <c r="F15" s="4" t="inlineStr">
        <is>
          <t>(GrowBot carry-over)</t>
        </is>
      </c>
      <c r="G15" s="6" t="n">
        <v>10</v>
      </c>
      <c r="H15" s="6">
        <f>C15*G15</f>
        <v/>
      </c>
      <c r="I15" s="4" t="inlineStr"/>
    </row>
    <row r="16">
      <c r="A16" s="4" t="inlineStr">
        <is>
          <t>Sensors</t>
        </is>
      </c>
      <c r="B16" s="4" t="inlineStr">
        <is>
          <t>Pi Zero CSI ribbon (mini -&gt; standard)</t>
        </is>
      </c>
      <c r="C16" s="4" t="n">
        <v>1</v>
      </c>
      <c r="D16" s="5" t="inlineStr">
        <is>
          <t>Pi Zero needs the narrow CSI cable</t>
        </is>
      </c>
      <c r="E16" s="4" t="inlineStr">
        <is>
          <t>To buy</t>
        </is>
      </c>
      <c r="F16" s="4" t="inlineStr">
        <is>
          <t>Adafruit</t>
        </is>
      </c>
      <c r="G16" s="6" t="n">
        <v>3</v>
      </c>
      <c r="H16" s="6">
        <f>C16*G16</f>
        <v/>
      </c>
      <c r="I16" s="4" t="inlineStr"/>
    </row>
    <row r="17">
      <c r="A17" s="4" t="inlineStr">
        <is>
          <t>Audio/Expression</t>
        </is>
      </c>
      <c r="B17" s="4" t="inlineStr">
        <is>
          <t>MAX98357A I2S amplifier</t>
        </is>
      </c>
      <c r="C17" s="4" t="n">
        <v>1</v>
      </c>
      <c r="D17" s="5" t="inlineStr">
        <is>
          <t>Speaker driver (voice reports, #5)</t>
        </is>
      </c>
      <c r="E17" s="4" t="inlineStr">
        <is>
          <t>Have</t>
        </is>
      </c>
      <c r="F17" s="4" t="inlineStr">
        <is>
          <t>(GrowBot carry-over)</t>
        </is>
      </c>
      <c r="G17" s="6" t="n">
        <v>6</v>
      </c>
      <c r="H17" s="6">
        <f>C17*G17</f>
        <v/>
      </c>
      <c r="I17" s="4" t="inlineStr"/>
    </row>
    <row r="18">
      <c r="A18" s="4" t="inlineStr">
        <is>
          <t>Audio/Expression</t>
        </is>
      </c>
      <c r="B18" s="4" t="inlineStr">
        <is>
          <t>Speaker 4-8 ohm (small)</t>
        </is>
      </c>
      <c r="C18" s="4" t="n">
        <v>1</v>
      </c>
      <c r="D18" s="5" t="inlineStr">
        <is>
          <t>Audio out</t>
        </is>
      </c>
      <c r="E18" s="4" t="inlineStr">
        <is>
          <t>Have</t>
        </is>
      </c>
      <c r="F18" s="4" t="inlineStr">
        <is>
          <t>(GrowBot carry-over)</t>
        </is>
      </c>
      <c r="G18" s="6" t="n">
        <v>2</v>
      </c>
      <c r="H18" s="6">
        <f>C18*G18</f>
        <v/>
      </c>
      <c r="I18" s="4" t="inlineStr"/>
    </row>
    <row r="19">
      <c r="A19" s="4" t="inlineStr">
        <is>
          <t>Audio/Expression</t>
        </is>
      </c>
      <c r="B19" s="4" t="inlineStr">
        <is>
          <t>INMP441 I2S microphone</t>
        </is>
      </c>
      <c r="C19" s="4" t="n">
        <v>1</v>
      </c>
      <c r="D19" s="5" t="inlineStr">
        <is>
          <t>Wake-word / voice in (#5)</t>
        </is>
      </c>
      <c r="E19" s="4" t="inlineStr">
        <is>
          <t>Have</t>
        </is>
      </c>
      <c r="F19" s="4" t="inlineStr">
        <is>
          <t>(GrowBot carry-over)</t>
        </is>
      </c>
      <c r="G19" s="6" t="n">
        <v>5</v>
      </c>
      <c r="H19" s="6">
        <f>C19*G19</f>
        <v/>
      </c>
      <c r="I19" s="4" t="inlineStr"/>
    </row>
    <row r="20">
      <c r="A20" s="4" t="inlineStr">
        <is>
          <t>Audio/Expression</t>
        </is>
      </c>
      <c r="B20" s="4" t="inlineStr">
        <is>
          <t>WS2812 RGB LED ring</t>
        </is>
      </c>
      <c r="C20" s="4" t="n">
        <v>1</v>
      </c>
      <c r="D20" s="5" t="inlineStr">
        <is>
          <t>Expressive 'personality' output</t>
        </is>
      </c>
      <c r="E20" s="4" t="inlineStr">
        <is>
          <t>Have</t>
        </is>
      </c>
      <c r="F20" s="4" t="inlineStr">
        <is>
          <t>(GrowBot carry-over)</t>
        </is>
      </c>
      <c r="G20" s="6" t="n">
        <v>8</v>
      </c>
      <c r="H20" s="6">
        <f>C20*G20</f>
        <v/>
      </c>
      <c r="I20" s="4" t="inlineStr"/>
    </row>
    <row r="21">
      <c r="A21" s="4" t="inlineStr">
        <is>
          <t>Power</t>
        </is>
      </c>
      <c r="B21" s="4" t="inlineStr">
        <is>
          <t>LiPo battery (~6 V: 2S 7.4 V small, or 6 V pack)</t>
        </is>
      </c>
      <c r="C21" s="4" t="n">
        <v>1</v>
      </c>
      <c r="D21" s="5" t="inlineStr">
        <is>
          <t>Main power. Motors are 3-6 V DC -&gt; ~6 V target. Pins the cell-count decision</t>
        </is>
      </c>
      <c r="E21" s="4" t="inlineStr">
        <is>
          <t>To buy</t>
        </is>
      </c>
      <c r="F21" s="4" t="inlineStr">
        <is>
          <t>HobbyKing / Amazon</t>
        </is>
      </c>
      <c r="G21" s="6" t="n">
        <v>10</v>
      </c>
      <c r="H21" s="6">
        <f>C21*G21</f>
        <v/>
      </c>
      <c r="I21" s="4" t="inlineStr"/>
    </row>
    <row r="22">
      <c r="A22" s="4" t="inlineStr">
        <is>
          <t>Power</t>
        </is>
      </c>
      <c r="B22" s="4" t="inlineStr">
        <is>
          <t>5 V buck regulator</t>
        </is>
      </c>
      <c r="C22" s="4" t="n">
        <v>1</v>
      </c>
      <c r="D22" s="5" t="inlineStr">
        <is>
          <t>Dedicated Pi rail; isolates Pi from motor current surges</t>
        </is>
      </c>
      <c r="E22" s="4" t="inlineStr">
        <is>
          <t>To buy</t>
        </is>
      </c>
      <c r="F22" s="4" t="inlineStr">
        <is>
          <t>Pololu / Amazon</t>
        </is>
      </c>
      <c r="G22" s="6" t="n">
        <v>4</v>
      </c>
      <c r="H22" s="6">
        <f>C22*G22</f>
        <v/>
      </c>
      <c r="I22" s="4" t="inlineStr"/>
    </row>
    <row r="23">
      <c r="A23" s="4" t="inlineStr">
        <is>
          <t>Power</t>
        </is>
      </c>
      <c r="B23" s="4" t="inlineStr">
        <is>
          <t>Bulk capacitor 470-1000 uF</t>
        </is>
      </c>
      <c r="C23" s="4" t="n">
        <v>2</v>
      </c>
      <c r="D23" s="5" t="inlineStr">
        <is>
          <t>Brownout protection on the Pi + motor rails</t>
        </is>
      </c>
      <c r="E23" s="4" t="inlineStr">
        <is>
          <t>To buy</t>
        </is>
      </c>
      <c r="F23" s="4" t="inlineStr">
        <is>
          <t>Amazon</t>
        </is>
      </c>
      <c r="G23" s="6" t="n">
        <v>1</v>
      </c>
      <c r="H23" s="6">
        <f>C23*G23</f>
        <v/>
      </c>
      <c r="I23" s="4" t="inlineStr"/>
    </row>
    <row r="24">
      <c r="A24" s="4" t="inlineStr">
        <is>
          <t>Power</t>
        </is>
      </c>
      <c r="B24" s="4" t="inlineStr">
        <is>
          <t>Charge management (1S TP4056 OR 2S BMS)</t>
        </is>
      </c>
      <c r="C24" s="4" t="n">
        <v>1</v>
      </c>
      <c r="D24" s="5" t="inlineStr">
        <is>
          <t>Per cell choice; couples to the dock charge path (#6)</t>
        </is>
      </c>
      <c r="E24" s="4" t="inlineStr">
        <is>
          <t>To buy</t>
        </is>
      </c>
      <c r="F24" s="4" t="inlineStr">
        <is>
          <t>Amazon</t>
        </is>
      </c>
      <c r="G24" s="6" t="n">
        <v>2</v>
      </c>
      <c r="H24" s="6">
        <f>C24*G24</f>
        <v/>
      </c>
      <c r="I24" s="4" t="inlineStr"/>
    </row>
    <row r="25">
      <c r="A25" s="4" t="inlineStr">
        <is>
          <t>Power</t>
        </is>
      </c>
      <c r="B25" s="4" t="inlineStr">
        <is>
          <t>Inline fuse + holder</t>
        </is>
      </c>
      <c r="C25" s="4" t="n">
        <v>1</v>
      </c>
      <c r="D25" s="5" t="inlineStr">
        <is>
          <t>Battery short protection</t>
        </is>
      </c>
      <c r="E25" s="4" t="inlineStr">
        <is>
          <t>To buy</t>
        </is>
      </c>
      <c r="F25" s="4" t="inlineStr">
        <is>
          <t>Amazon</t>
        </is>
      </c>
      <c r="G25" s="6" t="n">
        <v>2</v>
      </c>
      <c r="H25" s="6">
        <f>C25*G25</f>
        <v/>
      </c>
      <c r="I25" s="4" t="inlineStr"/>
    </row>
    <row r="26">
      <c r="A26" s="4" t="inlineStr">
        <is>
          <t>Power</t>
        </is>
      </c>
      <c r="B26" s="4" t="inlineStr">
        <is>
          <t>Power switch (SPST)</t>
        </is>
      </c>
      <c r="C26" s="4" t="n">
        <v>1</v>
      </c>
      <c r="D26" s="5" t="inlineStr">
        <is>
          <t>Main cutoff</t>
        </is>
      </c>
      <c r="E26" s="4" t="inlineStr">
        <is>
          <t>To buy</t>
        </is>
      </c>
      <c r="F26" s="4" t="inlineStr">
        <is>
          <t>Amazon</t>
        </is>
      </c>
      <c r="G26" s="6" t="n">
        <v>2</v>
      </c>
      <c r="H26" s="6">
        <f>C26*G26</f>
        <v/>
      </c>
      <c r="I26" s="4" t="inlineStr"/>
    </row>
    <row r="27">
      <c r="A27" s="4" t="inlineStr">
        <is>
          <t>Cat-safety</t>
        </is>
      </c>
      <c r="B27" s="4" t="inlineStr">
        <is>
          <t>Captive lure (feather/pom on short rigid/braided arm)</t>
        </is>
      </c>
      <c r="C27" s="4" t="n">
        <v>1</v>
      </c>
      <c r="D27" s="5" t="inlineStr">
        <is>
          <t>#1 hazard control: NO free end, over-molded. No loose string ever</t>
        </is>
      </c>
      <c r="E27" s="4" t="inlineStr">
        <is>
          <t>To buy</t>
        </is>
      </c>
      <c r="F27" s="4" t="inlineStr">
        <is>
          <t>craft + over-mold</t>
        </is>
      </c>
      <c r="G27" s="6" t="n">
        <v>5</v>
      </c>
      <c r="H27" s="6">
        <f>C27*G27</f>
        <v/>
      </c>
      <c r="I27" s="4" t="inlineStr"/>
    </row>
    <row r="28">
      <c r="A28" s="4" t="inlineStr">
        <is>
          <t>Cat-safety</t>
        </is>
      </c>
      <c r="B28" s="4" t="inlineStr">
        <is>
          <t>PETG filament (known-safe), spool</t>
        </is>
      </c>
      <c r="C28" s="4" t="n">
        <v>1</v>
      </c>
      <c r="D28" s="5" t="inlineStr">
        <is>
          <t>Cover / wheel shroud / lure-boom prints</t>
        </is>
      </c>
      <c r="E28" s="4" t="inlineStr">
        <is>
          <t>To buy</t>
        </is>
      </c>
      <c r="F28" s="4" t="inlineStr">
        <is>
          <t>Amazon</t>
        </is>
      </c>
      <c r="G28" s="6" t="n">
        <v>25</v>
      </c>
      <c r="H28" s="6">
        <f>C28*G28</f>
        <v/>
      </c>
      <c r="I28" s="4" t="inlineStr"/>
    </row>
    <row r="29">
      <c r="A29" s="4" t="inlineStr">
        <is>
          <t>Cat-safety</t>
        </is>
      </c>
      <c r="B29" s="4" t="inlineStr">
        <is>
          <t>Heat-set inserts + screws (captive fasteners)</t>
        </is>
      </c>
      <c r="C29" s="4" t="n">
        <v>1</v>
      </c>
      <c r="D29" s="5" t="inlineStr">
        <is>
          <t>Tool-locked battery hatch; no swallowable parts</t>
        </is>
      </c>
      <c r="E29" s="4" t="inlineStr">
        <is>
          <t>To buy</t>
        </is>
      </c>
      <c r="F29" s="4" t="inlineStr">
        <is>
          <t>Amazon</t>
        </is>
      </c>
      <c r="G29" s="6" t="n">
        <v>8</v>
      </c>
      <c r="H29" s="6">
        <f>C29*G29</f>
        <v/>
      </c>
      <c r="I29" s="4" t="inlineStr"/>
    </row>
    <row r="30">
      <c r="A30" s="4" t="inlineStr">
        <is>
          <t>Wiring</t>
        </is>
      </c>
      <c r="B30" s="4" t="inlineStr">
        <is>
          <t>Silicone hookup wire (assorted AWG)</t>
        </is>
      </c>
      <c r="C30" s="4" t="n">
        <v>1</v>
      </c>
      <c r="D30" s="5" t="inlineStr">
        <is>
          <t>Motor + logic wiring</t>
        </is>
      </c>
      <c r="E30" s="4" t="inlineStr">
        <is>
          <t>To buy</t>
        </is>
      </c>
      <c r="F30" s="4" t="inlineStr">
        <is>
          <t>Amazon</t>
        </is>
      </c>
      <c r="G30" s="6" t="n">
        <v>8</v>
      </c>
      <c r="H30" s="6">
        <f>C30*G30</f>
        <v/>
      </c>
      <c r="I30" s="4" t="inlineStr"/>
    </row>
    <row r="31">
      <c r="A31" s="4" t="inlineStr">
        <is>
          <t>Wiring</t>
        </is>
      </c>
      <c r="B31" s="4" t="inlineStr">
        <is>
          <t>JST / Dupont connectors</t>
        </is>
      </c>
      <c r="C31" s="4" t="n">
        <v>1</v>
      </c>
      <c r="D31" s="5" t="inlineStr">
        <is>
          <t>Removable connections</t>
        </is>
      </c>
      <c r="E31" s="4" t="inlineStr">
        <is>
          <t>To buy</t>
        </is>
      </c>
      <c r="F31" s="4" t="inlineStr">
        <is>
          <t>Amazon</t>
        </is>
      </c>
      <c r="G31" s="6" t="n">
        <v>6</v>
      </c>
      <c r="H31" s="6">
        <f>C31*G31</f>
        <v/>
      </c>
      <c r="I31" s="4" t="inlineStr"/>
    </row>
    <row r="32">
      <c r="A32" s="4" t="inlineStr">
        <is>
          <t>Wiring</t>
        </is>
      </c>
      <c r="B32" s="4" t="inlineStr">
        <is>
          <t>Heat-shrink assortment</t>
        </is>
      </c>
      <c r="C32" s="4" t="n">
        <v>1</v>
      </c>
      <c r="D32" s="5" t="inlineStr">
        <is>
          <t>Insulation</t>
        </is>
      </c>
      <c r="E32" s="4" t="inlineStr">
        <is>
          <t>Have</t>
        </is>
      </c>
      <c r="F32" s="4" t="inlineStr">
        <is>
          <t>Amazon</t>
        </is>
      </c>
      <c r="G32" s="6" t="n">
        <v>5</v>
      </c>
      <c r="H32" s="6">
        <f>C32*G32</f>
        <v/>
      </c>
      <c r="I32" s="4" t="inlineStr"/>
    </row>
    <row r="33">
      <c r="A33" s="4" t="inlineStr">
        <is>
          <t>Wiring</t>
        </is>
      </c>
      <c r="B33" s="4" t="inlineStr">
        <is>
          <t>Standoffs / M2.5 hardware</t>
        </is>
      </c>
      <c r="C33" s="4" t="n">
        <v>1</v>
      </c>
      <c r="D33" s="5" t="inlineStr">
        <is>
          <t>Mount Pi + boards to the chassis</t>
        </is>
      </c>
      <c r="E33" s="4" t="inlineStr">
        <is>
          <t>To buy</t>
        </is>
      </c>
      <c r="F33" s="4" t="inlineStr">
        <is>
          <t>Amazon</t>
        </is>
      </c>
      <c r="G33" s="6" t="n">
        <v>6</v>
      </c>
      <c r="H33" s="6">
        <f>C33*G33</f>
        <v/>
      </c>
      <c r="I33" s="4" t="inlineStr"/>
    </row>
    <row r="34">
      <c r="A34" s="4" t="inlineStr">
        <is>
          <t>Removed</t>
        </is>
      </c>
      <c r="B34" s="4" t="inlineStr">
        <is>
          <t>2x SCS0009 serial servo</t>
        </is>
      </c>
      <c r="C34" s="4" t="n">
        <v>0</v>
      </c>
      <c r="D34" s="5" t="inlineStr">
        <is>
          <t>Replaced by DC motors + H-bridge</t>
        </is>
      </c>
      <c r="E34" s="4" t="inlineStr">
        <is>
          <t>Don't order</t>
        </is>
      </c>
      <c r="F34" s="4" t="inlineStr">
        <is>
          <t>-</t>
        </is>
      </c>
      <c r="G34" s="6" t="n">
        <v>0</v>
      </c>
      <c r="H34" s="6">
        <f>C34*G34</f>
        <v/>
      </c>
      <c r="I34" s="4" t="inlineStr"/>
    </row>
    <row r="35">
      <c r="A35" s="4" t="inlineStr">
        <is>
          <t>Removed</t>
        </is>
      </c>
      <c r="B35" s="4" t="inlineStr">
        <is>
          <t>1 kohm resistor (servo bus)</t>
        </is>
      </c>
      <c r="C35" s="4" t="n">
        <v>0</v>
      </c>
      <c r="D35" s="5" t="inlineStr">
        <is>
          <t>Servo-bus only</t>
        </is>
      </c>
      <c r="E35" s="4" t="inlineStr">
        <is>
          <t>Don't order</t>
        </is>
      </c>
      <c r="F35" s="4" t="inlineStr">
        <is>
          <t>-</t>
        </is>
      </c>
      <c r="G35" s="6" t="n">
        <v>0</v>
      </c>
      <c r="H35" s="6">
        <f>C35*G35</f>
        <v/>
      </c>
      <c r="I35" s="4" t="inlineStr"/>
    </row>
    <row r="36">
      <c r="A36" s="4" t="inlineStr">
        <is>
          <t>Removed</t>
        </is>
      </c>
      <c r="B36" s="4" t="inlineStr">
        <is>
          <t>MT3608 boost converter</t>
        </is>
      </c>
      <c r="C36" s="4" t="n">
        <v>0</v>
      </c>
      <c r="D36" s="5" t="inlineStr">
        <is>
          <t>Not needed with the new power plan</t>
        </is>
      </c>
      <c r="E36" s="4" t="inlineStr">
        <is>
          <t>Don't order</t>
        </is>
      </c>
      <c r="F36" s="4" t="inlineStr">
        <is>
          <t>-</t>
        </is>
      </c>
      <c r="G36" s="6" t="n">
        <v>0</v>
      </c>
      <c r="H36" s="6">
        <f>C36*G36</f>
        <v/>
      </c>
      <c r="I36" s="4" t="inlineStr"/>
    </row>
    <row r="38">
      <c r="G38" s="7" t="inlineStr">
        <is>
          <t>Estimated still to buy:</t>
        </is>
      </c>
      <c r="H38" s="8">
        <f>SUMIF(E5:E36,"To buy",H5:H36)</f>
        <v/>
      </c>
    </row>
    <row r="39">
      <c r="G39" s="7" t="inlineStr">
        <is>
          <t>Estimated total (all rows):</t>
        </is>
      </c>
      <c r="H39" s="9">
        <f>SUM(H5:H36)</f>
        <v/>
      </c>
    </row>
  </sheetData>
  <mergeCells count="2">
    <mergeCell ref="A1:I1"/>
    <mergeCell ref="A2:I2"/>
  </mergeCells>
  <conditionalFormatting sqref="E5:E36">
    <cfRule type="cellIs" priority="1" operator="equal" dxfId="0">
      <formula>"To buy"</formula>
    </cfRule>
    <cfRule type="cellIs" priority="2" operator="equal" dxfId="1">
      <formula>"Have"</formula>
    </cfRule>
    <cfRule type="cellIs" priority="3" operator="equal" dxfId="1">
      <formula>"Bought"</formula>
    </cfRule>
    <cfRule type="cellIs" priority="4" operator="equal" dxfId="1">
      <formula>"Included in kit"</formula>
    </cfRule>
    <cfRule type="cellIs" priority="5" operator="equal" dxfId="2">
      <formula>"Later"</formula>
    </cfRule>
    <cfRule type="cellIs" priority="6" operator="equal" dxfId="3">
      <formula>"Don't order"</formula>
    </cfRule>
  </conditionalFormatting>
  <dataValidations count="1">
    <dataValidation sqref="E5:E36" showDropDown="0" showInputMessage="0" showErrorMessage="0" allowBlank="1" type="list">
      <formula1>"Have,Bought,Included in kit,To buy,Later,Don't order"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</cols>
  <sheetData>
    <row r="1">
      <c r="A1" s="1" t="inlineStr">
        <is>
          <t>Tools (not consumed - reference)</t>
        </is>
      </c>
    </row>
    <row r="3">
      <c r="A3" s="10" t="inlineStr">
        <is>
          <t>Tool</t>
        </is>
      </c>
      <c r="B3" s="10" t="inlineStr">
        <is>
          <t>Used for</t>
        </is>
      </c>
    </row>
    <row r="4">
      <c r="A4" s="11" t="inlineStr">
        <is>
          <t>Soldering iron + solder</t>
        </is>
      </c>
      <c r="B4" s="11" t="inlineStr">
        <is>
          <t>Wiring the H-bridge, headers, power</t>
        </is>
      </c>
    </row>
    <row r="5">
      <c r="A5" s="11" t="inlineStr">
        <is>
          <t>Multimeter</t>
        </is>
      </c>
      <c r="B5" s="11" t="inlineStr">
        <is>
          <t>Continuity, voltage, current checks</t>
        </is>
      </c>
    </row>
    <row r="6">
      <c r="A6" s="11" t="inlineStr">
        <is>
          <t>Digital calipers</t>
        </is>
      </c>
      <c r="B6" s="11" t="inlineStr">
        <is>
          <t>The 4 sim-refit measurements (wheel OD, track, caster offset)</t>
        </is>
      </c>
    </row>
    <row r="7">
      <c r="A7" s="11" t="inlineStr">
        <is>
          <t>Kitchen scale</t>
        </is>
      </c>
      <c r="B7" s="11" t="inlineStr">
        <is>
          <t>Assembled weight for the sim refit</t>
        </is>
      </c>
    </row>
    <row r="8">
      <c r="A8" s="11" t="inlineStr">
        <is>
          <t>3D printer</t>
        </is>
      </c>
      <c r="B8" s="11" t="inlineStr">
        <is>
          <t>Cover / wheel shroud / lure boom (PETG)</t>
        </is>
      </c>
    </row>
    <row r="9">
      <c r="A9" s="11" t="inlineStr">
        <is>
          <t>Wire strippers / flush cutters</t>
        </is>
      </c>
      <c r="B9" s="11" t="inlineStr">
        <is>
          <t>Wiring</t>
        </is>
      </c>
    </row>
    <row r="10">
      <c r="A10" s="11" t="inlineStr">
        <is>
          <t>Small screwdriver + hex set</t>
        </is>
      </c>
      <c r="B10" s="11" t="inlineStr">
        <is>
          <t>Assembly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2026-06-24T05:06:35Z</dcterms:created>
  <dcterms:modified xsi:type="dcterms:W3CDTF">2026-06-24T05:06:35Z</dcterms:modified>
</cp:coreProperties>
</file>