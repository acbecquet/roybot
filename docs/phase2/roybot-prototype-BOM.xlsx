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Tools" sheetId="2" state="visible" r:id="rId2"/>
  </sheets>
  <definedNames>
    <definedName name="_xlnm._FilterDatabase" localSheetId="0" hidden="1">'BOM'!$A$9:$J$44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F3A8A"/>
      <sz val="15"/>
    </font>
    <font>
      <i val="1"/>
      <color rgb="00666666"/>
      <sz val="10"/>
    </font>
    <font>
      <b val="1"/>
    </font>
    <font>
      <b val="1"/>
      <color rgb="00B3261E"/>
    </font>
    <font>
      <b val="1"/>
      <color rgb="00666666"/>
    </font>
    <font>
      <b val="1"/>
      <color rgb="001F3A8A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7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BE3E0"/>
        </patternFill>
      </fill>
    </dxf>
    <dxf>
      <fill>
        <patternFill patternType="solid">
          <fgColor rgb="00E3F2E5"/>
        </patternFill>
      </fill>
    </dxf>
    <dxf>
      <fill>
        <patternFill patternType="solid">
          <fgColor rgb="00E1ECF7"/>
        </patternFill>
      </fill>
    </dxf>
    <dxf>
      <fill>
        <patternFill patternType="solid">
          <fgColor rgb="00EC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40" customWidth="1" min="4" max="4"/>
    <col width="5" customWidth="1" min="5" max="5"/>
    <col width="48" customWidth="1" min="6" max="6"/>
    <col width="20" customWidth="1" min="7" max="7"/>
    <col width="13" customWidth="1" min="8" max="8"/>
    <col width="13" customWidth="1" min="9" max="9"/>
    <col width="20" customWidth="1" min="10" max="10"/>
  </cols>
  <sheetData>
    <row r="1">
      <c r="A1" s="1" t="inlineStr">
        <is>
          <t>Roybot - Staged Bill of Materials</t>
        </is>
      </c>
    </row>
    <row r="2" ht="54" customHeight="1">
      <c r="A2" s="2" t="inlineStr">
        <is>
          <t>STAGE A = first prototype, buy NOW (drive + chase brain + senses + power; perception offloaded to PC). STAGE B = standalone onboard colored-collar tracker (software-only on A's hardware + a collar). STAGE C = full standalone, no collar (Pi 5 + AI accelerator). B and C build on A. RED = buy, BLUE = 3D-print, GREEN = have, GREY = spare. Tools on hand. Prices = rough ballparks.</t>
        </is>
      </c>
    </row>
    <row r="4">
      <c r="G4" s="3" t="inlineStr">
        <is>
          <t>STAGE A - buy now:</t>
        </is>
      </c>
      <c r="I4" s="4">
        <f>SUMIFS(I10:I44,A10:A44,"A",B10:B44,"Buy")</f>
        <v/>
      </c>
    </row>
    <row r="5">
      <c r="G5" s="3" t="inlineStr">
        <is>
          <t>Stage B add-on (later):</t>
        </is>
      </c>
      <c r="I5" s="5">
        <f>SUMIFS(I10:I44,A10:A44,"B",B10:B44,"Buy")</f>
        <v/>
      </c>
    </row>
    <row r="6">
      <c r="G6" s="3" t="inlineStr">
        <is>
          <t>Stage C add-on (later):</t>
        </is>
      </c>
      <c r="I6" s="5">
        <f>SUMIFS(I10:I44,A10:A44,"C",B10:B44,"Buy")</f>
        <v/>
      </c>
    </row>
    <row r="7">
      <c r="G7" s="3" t="inlineStr">
        <is>
          <t>Full project (all buy):</t>
        </is>
      </c>
      <c r="I7" s="6">
        <f>SUMIF(B10:B44,"Buy",I10:I44)</f>
        <v/>
      </c>
    </row>
    <row r="9">
      <c r="A9" s="7" t="inlineStr">
        <is>
          <t>Stage</t>
        </is>
      </c>
      <c r="B9" s="7" t="inlineStr">
        <is>
          <t>Status</t>
        </is>
      </c>
      <c r="C9" s="7" t="inlineStr">
        <is>
          <t>Group</t>
        </is>
      </c>
      <c r="D9" s="7" t="inlineStr">
        <is>
          <t>Component</t>
        </is>
      </c>
      <c r="E9" s="7" t="inlineStr">
        <is>
          <t>Qty</t>
        </is>
      </c>
      <c r="F9" s="7" t="inlineStr">
        <is>
          <t>Spec / note</t>
        </is>
      </c>
      <c r="G9" s="7" t="inlineStr">
        <is>
          <t>Source</t>
        </is>
      </c>
      <c r="H9" s="7" t="inlineStr">
        <is>
          <t>Est. unit (USD)</t>
        </is>
      </c>
      <c r="I9" s="7" t="inlineStr">
        <is>
          <t>Est. line (USD)</t>
        </is>
      </c>
      <c r="J9" s="7" t="inlineStr">
        <is>
          <t>Link / Part # (you fill)</t>
        </is>
      </c>
    </row>
    <row r="10">
      <c r="A10" s="8" t="inlineStr">
        <is>
          <t>A</t>
        </is>
      </c>
      <c r="B10" s="8" t="inlineStr">
        <is>
          <t>Buy</t>
        </is>
      </c>
      <c r="C10" s="8" t="inlineStr">
        <is>
          <t>Drivetrain</t>
        </is>
      </c>
      <c r="D10" s="9" t="inlineStr">
        <is>
          <t>Pololu HPCB 6V 100:1 micro metal gearmotor, EXTENDED back-shaft</t>
        </is>
      </c>
      <c r="E10" s="8" t="n">
        <v>2</v>
      </c>
      <c r="F10" s="9" t="inlineStr">
        <is>
          <t>Verified pick (~0.75 m/s, strong torque). EXTENDED shaft REQUIRED for the encoder. Cheaper alt: generic GA12-N20 6V w/ integrated encoder (~$12 ea, 2-packs) saves ~$20 - Pololu chosen for spec consistency</t>
        </is>
      </c>
      <c r="G10" s="8" t="inlineStr">
        <is>
          <t>Pololu</t>
        </is>
      </c>
      <c r="H10" s="10" t="n">
        <v>18</v>
      </c>
      <c r="I10" s="10">
        <f>E10*H10</f>
        <v/>
      </c>
      <c r="J10" s="8" t="inlineStr"/>
    </row>
    <row r="11">
      <c r="A11" s="8" t="inlineStr">
        <is>
          <t>A</t>
        </is>
      </c>
      <c r="B11" s="8" t="inlineStr">
        <is>
          <t>Buy</t>
        </is>
      </c>
      <c r="C11" s="8" t="inlineStr">
        <is>
          <t>Drivetrain</t>
        </is>
      </c>
      <c r="D11" s="9" t="inlineStr">
        <is>
          <t>Pololu magnetic quadrature encoder pair (micro metal gearmotor)</t>
        </is>
      </c>
      <c r="E11" s="8" t="n">
        <v>1</v>
      </c>
      <c r="F11" s="9" t="inlineStr">
        <is>
          <t>1200 CPR/wheel-rev at 100:1 (already x4-decoded). VCC=3.3V. Closed-loop speed (matches sim), stall cutoff, odometry</t>
        </is>
      </c>
      <c r="G11" s="8" t="inlineStr">
        <is>
          <t>Pololu</t>
        </is>
      </c>
      <c r="H11" s="10" t="n">
        <v>9</v>
      </c>
      <c r="I11" s="10">
        <f>E11*H11</f>
        <v/>
      </c>
      <c r="J11" s="8" t="inlineStr"/>
    </row>
    <row r="12">
      <c r="A12" s="8" t="inlineStr">
        <is>
          <t>A</t>
        </is>
      </c>
      <c r="B12" s="8" t="inlineStr">
        <is>
          <t>Buy</t>
        </is>
      </c>
      <c r="C12" s="8" t="inlineStr">
        <is>
          <t>Drivetrain</t>
        </is>
      </c>
      <c r="D12" s="9" t="inlineStr">
        <is>
          <t>60 mm wheel for N20 (3 mm D-shaft), rubber tire</t>
        </is>
      </c>
      <c r="E12" s="8" t="n">
        <v>2</v>
      </c>
      <c r="F12" s="9" t="inlineStr">
        <is>
          <t>3216 wheels don't fit the N20 shaft. Rubber tire for grip</t>
        </is>
      </c>
      <c r="G12" s="8" t="inlineStr">
        <is>
          <t>Pololu / Amazon</t>
        </is>
      </c>
      <c r="H12" s="10" t="n">
        <v>4</v>
      </c>
      <c r="I12" s="10">
        <f>E12*H12</f>
        <v/>
      </c>
      <c r="J12" s="8" t="inlineStr"/>
    </row>
    <row r="13">
      <c r="A13" s="8" t="inlineStr">
        <is>
          <t>A</t>
        </is>
      </c>
      <c r="B13" s="8" t="inlineStr">
        <is>
          <t>Buy</t>
        </is>
      </c>
      <c r="C13" s="8" t="inlineStr">
        <is>
          <t>Drivetrain</t>
        </is>
      </c>
      <c r="D13" s="9" t="inlineStr">
        <is>
          <t>TB6612FNG dual H-bridge breakout</t>
        </is>
      </c>
      <c r="E13" s="8" t="n">
        <v>1</v>
      </c>
      <c r="F13" s="9" t="inlineStr">
        <is>
          <t>Motor driver. VM = 6V motor rail, VCC = 3.3V, PWM &gt;=20 kHz. Closed-loop via encoders + firmware stall cutoff</t>
        </is>
      </c>
      <c r="G13" s="8" t="inlineStr">
        <is>
          <t>Adafruit / Pololu</t>
        </is>
      </c>
      <c r="H13" s="10" t="n">
        <v>5</v>
      </c>
      <c r="I13" s="10">
        <f>E13*H13</f>
        <v/>
      </c>
      <c r="J13" s="8" t="inlineStr"/>
    </row>
    <row r="14">
      <c r="A14" s="8" t="inlineStr">
        <is>
          <t>A</t>
        </is>
      </c>
      <c r="B14" s="8" t="inlineStr">
        <is>
          <t>Buy</t>
        </is>
      </c>
      <c r="C14" s="8" t="inlineStr">
        <is>
          <t>Compute</t>
        </is>
      </c>
      <c r="D14" s="9" t="inlineStr">
        <is>
          <t>microSD card, 32 GB Class 10 / A1</t>
        </is>
      </c>
      <c r="E14" s="8" t="n">
        <v>1</v>
      </c>
      <c r="F14" s="9" t="inlineStr">
        <is>
          <t>NOT in your Pi kit. Raspberry Pi OS Lite 64-bit (GrowBot #2)</t>
        </is>
      </c>
      <c r="G14" s="8" t="inlineStr">
        <is>
          <t>Amazon</t>
        </is>
      </c>
      <c r="H14" s="10" t="n">
        <v>8</v>
      </c>
      <c r="I14" s="10">
        <f>E14*H14</f>
        <v/>
      </c>
      <c r="J14" s="8" t="inlineStr"/>
    </row>
    <row r="15">
      <c r="A15" s="8" t="inlineStr">
        <is>
          <t>A</t>
        </is>
      </c>
      <c r="B15" s="8" t="inlineStr">
        <is>
          <t>Buy</t>
        </is>
      </c>
      <c r="C15" s="8" t="inlineStr">
        <is>
          <t>Sensing</t>
        </is>
      </c>
      <c r="D15" s="9" t="inlineStr">
        <is>
          <t>OV5647 camera - Pi ZERO version (narrow 22-&gt;15 CSI ribbon)</t>
        </is>
      </c>
      <c r="E15" s="8" t="n">
        <v>1</v>
      </c>
      <c r="F15" s="9" t="inlineStr">
        <is>
          <t>HIGH PRIORITY. MUST be the Pi Zero narrow-ribbon version (GrowBot #7). Used by all 3 perception stages</t>
        </is>
      </c>
      <c r="G15" s="8" t="inlineStr">
        <is>
          <t>Amazon</t>
        </is>
      </c>
      <c r="H15" s="10" t="n">
        <v>12</v>
      </c>
      <c r="I15" s="10">
        <f>E15*H15</f>
        <v/>
      </c>
      <c r="J15" s="8" t="inlineStr"/>
    </row>
    <row r="16">
      <c r="A16" s="8" t="inlineStr">
        <is>
          <t>A</t>
        </is>
      </c>
      <c r="B16" s="8" t="inlineStr">
        <is>
          <t>Buy</t>
        </is>
      </c>
      <c r="C16" s="8" t="inlineStr">
        <is>
          <t>Sensing</t>
        </is>
      </c>
      <c r="D16" s="9" t="inlineStr">
        <is>
          <t>MPU-6050 IMU (GY-521)</t>
        </is>
      </c>
      <c r="E16" s="8" t="n">
        <v>1</v>
      </c>
      <c r="F16" s="9" t="inlineStr">
        <is>
          <t>Tip + no-motion stall reflexes; proprioception. I2C 0x68, 3.3V (GrowBot #6)</t>
        </is>
      </c>
      <c r="G16" s="8" t="inlineStr">
        <is>
          <t>Amazon</t>
        </is>
      </c>
      <c r="H16" s="10" t="n">
        <v>4</v>
      </c>
      <c r="I16" s="10">
        <f>E16*H16</f>
        <v/>
      </c>
      <c r="J16" s="8" t="inlineStr"/>
    </row>
    <row r="17">
      <c r="A17" s="8" t="inlineStr">
        <is>
          <t>A</t>
        </is>
      </c>
      <c r="B17" s="8" t="inlineStr">
        <is>
          <t>Buy</t>
        </is>
      </c>
      <c r="C17" s="8" t="inlineStr">
        <is>
          <t>Voice/Lights</t>
        </is>
      </c>
      <c r="D17" s="9" t="inlineStr">
        <is>
          <t>INMP441 I2S microphone</t>
        </is>
      </c>
      <c r="E17" s="8" t="n">
        <v>1</v>
      </c>
      <c r="F17" s="9" t="inlineStr">
        <is>
          <t>HIGH PRIORITY. Wake-word / voice in (GrowBot #8)</t>
        </is>
      </c>
      <c r="G17" s="8" t="inlineStr">
        <is>
          <t>Amazon</t>
        </is>
      </c>
      <c r="H17" s="10" t="n">
        <v>4</v>
      </c>
      <c r="I17" s="10">
        <f>E17*H17</f>
        <v/>
      </c>
      <c r="J17" s="8" t="inlineStr"/>
    </row>
    <row r="18">
      <c r="A18" s="8" t="inlineStr">
        <is>
          <t>A</t>
        </is>
      </c>
      <c r="B18" s="8" t="inlineStr">
        <is>
          <t>Buy</t>
        </is>
      </c>
      <c r="C18" s="8" t="inlineStr">
        <is>
          <t>Voice/Lights</t>
        </is>
      </c>
      <c r="D18" s="9" t="inlineStr">
        <is>
          <t>MAX98357A I2S amplifier</t>
        </is>
      </c>
      <c r="E18" s="8" t="n">
        <v>1</v>
      </c>
      <c r="F18" s="9" t="inlineStr">
        <is>
          <t>HIGH PRIORITY. Speaker driver (GrowBot #9)</t>
        </is>
      </c>
      <c r="G18" s="8" t="inlineStr">
        <is>
          <t>Amazon</t>
        </is>
      </c>
      <c r="H18" s="10" t="n">
        <v>5</v>
      </c>
      <c r="I18" s="10">
        <f>E18*H18</f>
        <v/>
      </c>
      <c r="J18" s="8" t="inlineStr"/>
    </row>
    <row r="19">
      <c r="A19" s="8" t="inlineStr">
        <is>
          <t>A</t>
        </is>
      </c>
      <c r="B19" s="8" t="inlineStr">
        <is>
          <t>Buy</t>
        </is>
      </c>
      <c r="C19" s="8" t="inlineStr">
        <is>
          <t>Voice/Lights</t>
        </is>
      </c>
      <c r="D19" s="9" t="inlineStr">
        <is>
          <t>Speaker 8 ohm, 0.5-3 W (small)</t>
        </is>
      </c>
      <c r="E19" s="8" t="n">
        <v>1</v>
      </c>
      <c r="F19" s="9" t="inlineStr">
        <is>
          <t>HIGH PRIORITY. Audio out (GrowBot #10)</t>
        </is>
      </c>
      <c r="G19" s="8" t="inlineStr">
        <is>
          <t>Amazon</t>
        </is>
      </c>
      <c r="H19" s="10" t="n">
        <v>2</v>
      </c>
      <c r="I19" s="10">
        <f>E19*H19</f>
        <v/>
      </c>
      <c r="J19" s="8" t="inlineStr"/>
    </row>
    <row r="20">
      <c r="A20" s="8" t="inlineStr">
        <is>
          <t>A</t>
        </is>
      </c>
      <c r="B20" s="8" t="inlineStr">
        <is>
          <t>Buy</t>
        </is>
      </c>
      <c r="C20" s="8" t="inlineStr">
        <is>
          <t>Voice/Lights</t>
        </is>
      </c>
      <c r="D20" s="9" t="inlineStr">
        <is>
          <t>WS2812B LED ring, 7 px, 5 V</t>
        </is>
      </c>
      <c r="E20" s="8" t="n">
        <v>1</v>
      </c>
      <c r="F20" s="9" t="inlineStr">
        <is>
          <t>Expressive 'personality' output (GrowBot #11)</t>
        </is>
      </c>
      <c r="G20" s="8" t="inlineStr">
        <is>
          <t>Amazon</t>
        </is>
      </c>
      <c r="H20" s="10" t="n">
        <v>3</v>
      </c>
      <c r="I20" s="10">
        <f>E20*H20</f>
        <v/>
      </c>
      <c r="J20" s="8" t="inlineStr"/>
    </row>
    <row r="21">
      <c r="A21" s="8" t="inlineStr">
        <is>
          <t>A</t>
        </is>
      </c>
      <c r="B21" s="8" t="inlineStr">
        <is>
          <t>Buy</t>
        </is>
      </c>
      <c r="C21" s="8" t="inlineStr">
        <is>
          <t>Power</t>
        </is>
      </c>
      <c r="D21" s="9" t="inlineStr">
        <is>
          <t>18650 Li-ion cell, 2500-3500 mAh (1S)</t>
        </is>
      </c>
      <c r="E21" s="8" t="n">
        <v>1</v>
      </c>
      <c r="F21" s="9" t="inlineStr">
        <is>
          <t>Main battery (you don't have one) (GrowBot #12)</t>
        </is>
      </c>
      <c r="G21" s="8" t="inlineStr">
        <is>
          <t>Amazon</t>
        </is>
      </c>
      <c r="H21" s="10" t="n">
        <v>6</v>
      </c>
      <c r="I21" s="10">
        <f>E21*H21</f>
        <v/>
      </c>
      <c r="J21" s="8" t="inlineStr"/>
    </row>
    <row r="22">
      <c r="A22" s="8" t="inlineStr">
        <is>
          <t>A</t>
        </is>
      </c>
      <c r="B22" s="8" t="inlineStr">
        <is>
          <t>Buy</t>
        </is>
      </c>
      <c r="C22" s="8" t="inlineStr">
        <is>
          <t>Power</t>
        </is>
      </c>
      <c r="D22" s="9" t="inlineStr">
        <is>
          <t>18650 battery holder</t>
        </is>
      </c>
      <c r="E22" s="8" t="n">
        <v>1</v>
      </c>
      <c r="F22" s="9" t="inlineStr">
        <is>
          <t>Cell holder + contacts</t>
        </is>
      </c>
      <c r="G22" s="8" t="inlineStr">
        <is>
          <t>Amazon</t>
        </is>
      </c>
      <c r="H22" s="10" t="n">
        <v>2</v>
      </c>
      <c r="I22" s="10">
        <f>E22*H22</f>
        <v/>
      </c>
      <c r="J22" s="8" t="inlineStr"/>
    </row>
    <row r="23">
      <c r="A23" s="8" t="inlineStr">
        <is>
          <t>A</t>
        </is>
      </c>
      <c r="B23" s="8" t="inlineStr">
        <is>
          <t>Buy</t>
        </is>
      </c>
      <c r="C23" s="8" t="inlineStr">
        <is>
          <t>Power</t>
        </is>
      </c>
      <c r="D23" s="9" t="inlineStr">
        <is>
          <t>TP4056 USB-C charge + protect module</t>
        </is>
      </c>
      <c r="E23" s="8" t="n">
        <v>1</v>
      </c>
      <c r="F23" s="9" t="inlineStr">
        <is>
          <t>In-place recharging; PROTECTED OUT+/OUT- version (GrowBot #13)</t>
        </is>
      </c>
      <c r="G23" s="8" t="inlineStr">
        <is>
          <t>Amazon</t>
        </is>
      </c>
      <c r="H23" s="10" t="n">
        <v>2</v>
      </c>
      <c r="I23" s="10">
        <f>E23*H23</f>
        <v/>
      </c>
      <c r="J23" s="8" t="inlineStr"/>
    </row>
    <row r="24">
      <c r="A24" s="8" t="inlineStr">
        <is>
          <t>A</t>
        </is>
      </c>
      <c r="B24" s="8" t="inlineStr">
        <is>
          <t>Buy</t>
        </is>
      </c>
      <c r="C24" s="8" t="inlineStr">
        <is>
          <t>Power</t>
        </is>
      </c>
      <c r="D24" s="9" t="inlineStr">
        <is>
          <t>MT3608 boost module (x2)</t>
        </is>
      </c>
      <c r="E24" s="8" t="n">
        <v>2</v>
      </c>
      <c r="F24" s="9" t="inlineStr">
        <is>
          <t>Dual-rail off the 1S cell: ~5.1V (Pi + amp + LED) + ~6.0V (N20 motor rail = TB6612 VM). Isolates Pi from stall brownout (GrowBot #14)</t>
        </is>
      </c>
      <c r="G24" s="8" t="inlineStr">
        <is>
          <t>Amazon</t>
        </is>
      </c>
      <c r="H24" s="10" t="n">
        <v>2</v>
      </c>
      <c r="I24" s="10">
        <f>E24*H24</f>
        <v/>
      </c>
      <c r="J24" s="8" t="inlineStr"/>
    </row>
    <row r="25">
      <c r="A25" s="8" t="inlineStr">
        <is>
          <t>A</t>
        </is>
      </c>
      <c r="B25" s="8" t="inlineStr">
        <is>
          <t>Buy</t>
        </is>
      </c>
      <c r="C25" s="8" t="inlineStr">
        <is>
          <t>Power</t>
        </is>
      </c>
      <c r="D25" s="9" t="inlineStr">
        <is>
          <t>Electrolytic cap 470-1000 uF, 10 V+</t>
        </is>
      </c>
      <c r="E25" s="8" t="n">
        <v>2</v>
      </c>
      <c r="F25" s="9" t="inlineStr">
        <is>
          <t>One per rail; pair with firmware PWM soft-start + drive watchdog (GrowBot #15)</t>
        </is>
      </c>
      <c r="G25" s="8" t="inlineStr">
        <is>
          <t>Amazon</t>
        </is>
      </c>
      <c r="H25" s="10" t="n">
        <v>1</v>
      </c>
      <c r="I25" s="10">
        <f>E25*H25</f>
        <v/>
      </c>
      <c r="J25" s="8" t="inlineStr"/>
    </row>
    <row r="26">
      <c r="A26" s="8" t="inlineStr">
        <is>
          <t>A</t>
        </is>
      </c>
      <c r="B26" s="8" t="inlineStr">
        <is>
          <t>Buy</t>
        </is>
      </c>
      <c r="C26" s="8" t="inlineStr">
        <is>
          <t>Power</t>
        </is>
      </c>
      <c r="D26" s="9" t="inlineStr">
        <is>
          <t>SPST power switch</t>
        </is>
      </c>
      <c r="E26" s="8" t="n">
        <v>1</v>
      </c>
      <c r="F26" s="9" t="inlineStr">
        <is>
          <t>Main cutoff (GrowBot #16)</t>
        </is>
      </c>
      <c r="G26" s="8" t="inlineStr">
        <is>
          <t>Amazon</t>
        </is>
      </c>
      <c r="H26" s="10" t="n">
        <v>2</v>
      </c>
      <c r="I26" s="10">
        <f>E26*H26</f>
        <v/>
      </c>
      <c r="J26" s="8" t="inlineStr"/>
    </row>
    <row r="27">
      <c r="A27" s="8" t="inlineStr">
        <is>
          <t>A</t>
        </is>
      </c>
      <c r="B27" s="8" t="inlineStr">
        <is>
          <t>Buy</t>
        </is>
      </c>
      <c r="C27" s="8" t="inlineStr">
        <is>
          <t>Build</t>
        </is>
      </c>
      <c r="D27" s="9" t="inlineStr">
        <is>
          <t>Hookup wire + Dupont jumpers</t>
        </is>
      </c>
      <c r="E27" s="8" t="n">
        <v>1</v>
      </c>
      <c r="F27" s="9" t="inlineStr">
        <is>
          <t>Wire per the GrowBot diagram + the TB6612</t>
        </is>
      </c>
      <c r="G27" s="8" t="inlineStr">
        <is>
          <t>Amazon</t>
        </is>
      </c>
      <c r="H27" s="10" t="n">
        <v>8</v>
      </c>
      <c r="I27" s="10">
        <f>E27*H27</f>
        <v/>
      </c>
      <c r="J27" s="8" t="inlineStr"/>
    </row>
    <row r="28">
      <c r="A28" s="8" t="inlineStr">
        <is>
          <t>A</t>
        </is>
      </c>
      <c r="B28" s="8" t="inlineStr">
        <is>
          <t>Buy</t>
        </is>
      </c>
      <c r="C28" s="8" t="inlineStr">
        <is>
          <t>Build</t>
        </is>
      </c>
      <c r="D28" s="9" t="inlineStr">
        <is>
          <t>330-470 ohm resistor (WS2812 data line)</t>
        </is>
      </c>
      <c r="E28" s="8" t="n">
        <v>1</v>
      </c>
      <c r="F28" s="9" t="inlineStr">
        <is>
          <t>Series resistor on the LED data line (3.3V GPIO -&gt; 5V ring)</t>
        </is>
      </c>
      <c r="G28" s="8" t="inlineStr">
        <is>
          <t>Amazon</t>
        </is>
      </c>
      <c r="H28" s="10" t="n">
        <v>1</v>
      </c>
      <c r="I28" s="10">
        <f>E28*H28</f>
        <v/>
      </c>
      <c r="J28" s="8" t="inlineStr"/>
    </row>
    <row r="29">
      <c r="A29" s="8" t="inlineStr">
        <is>
          <t>A</t>
        </is>
      </c>
      <c r="B29" s="8" t="inlineStr">
        <is>
          <t>Buy</t>
        </is>
      </c>
      <c r="C29" s="8" t="inlineStr">
        <is>
          <t>Build</t>
        </is>
      </c>
      <c r="D29" s="9" t="inlineStr">
        <is>
          <t>3M double-sided mounting squares</t>
        </is>
      </c>
      <c r="E29" s="8" t="n">
        <v>1</v>
      </c>
      <c r="F29" s="9" t="inlineStr">
        <is>
          <t>GrowBot's no-screw board mounting (or print mounts)</t>
        </is>
      </c>
      <c r="G29" s="8" t="inlineStr">
        <is>
          <t>Amazon</t>
        </is>
      </c>
      <c r="H29" s="10" t="n">
        <v>5</v>
      </c>
      <c r="I29" s="10">
        <f>E29*H29</f>
        <v/>
      </c>
      <c r="J29" s="8" t="inlineStr"/>
    </row>
    <row r="30">
      <c r="A30" s="8" t="inlineStr">
        <is>
          <t>A</t>
        </is>
      </c>
      <c r="B30" s="8" t="inlineStr">
        <is>
          <t>Buy</t>
        </is>
      </c>
      <c r="C30" s="8" t="inlineStr">
        <is>
          <t>Build</t>
        </is>
      </c>
      <c r="D30" s="9" t="inlineStr">
        <is>
          <t>PETG filament (known-safe), 1 spool</t>
        </is>
      </c>
      <c r="E30" s="8" t="n">
        <v>1</v>
      </c>
      <c r="F30" s="9" t="inlineStr">
        <is>
          <t>Skip if your printer came with filament / use PLA for the first test print</t>
        </is>
      </c>
      <c r="G30" s="8" t="inlineStr">
        <is>
          <t>Amazon</t>
        </is>
      </c>
      <c r="H30" s="10" t="n">
        <v>25</v>
      </c>
      <c r="I30" s="10">
        <f>E30*H30</f>
        <v/>
      </c>
      <c r="J30" s="8" t="inlineStr"/>
    </row>
    <row r="31">
      <c r="A31" s="8" t="inlineStr">
        <is>
          <t>A</t>
        </is>
      </c>
      <c r="B31" s="8" t="inlineStr">
        <is>
          <t>Buy</t>
        </is>
      </c>
      <c r="C31" s="8" t="inlineStr">
        <is>
          <t>Safety</t>
        </is>
      </c>
      <c r="D31" s="9" t="inlineStr">
        <is>
          <t>Captive lure (feather/pom on short rigid/braided arm)</t>
        </is>
      </c>
      <c r="E31" s="8" t="n">
        <v>1</v>
      </c>
      <c r="F31" s="9" t="inlineStr">
        <is>
          <t>#1 cat-safety item: NO free end, over-molded. Attended play only</t>
        </is>
      </c>
      <c r="G31" s="8" t="inlineStr">
        <is>
          <t>craft / Amazon</t>
        </is>
      </c>
      <c r="H31" s="10" t="n">
        <v>5</v>
      </c>
      <c r="I31" s="10">
        <f>E31*H31</f>
        <v/>
      </c>
      <c r="J31" s="8" t="inlineStr"/>
    </row>
    <row r="32">
      <c r="A32" s="8" t="inlineStr">
        <is>
          <t>A</t>
        </is>
      </c>
      <c r="B32" s="8" t="inlineStr">
        <is>
          <t>Print</t>
        </is>
      </c>
      <c r="C32" s="8" t="inlineStr">
        <is>
          <t>Drivetrain</t>
        </is>
      </c>
      <c r="D32" s="9" t="inlineStr">
        <is>
          <t>N20 -&gt; 3216 motor-mount adapter</t>
        </is>
      </c>
      <c r="E32" s="8" t="n">
        <v>2</v>
      </c>
      <c r="F32" s="9" t="inlineStr">
        <is>
          <t>3216 mounts fit its DC motors, not N20s - print an adapter</t>
        </is>
      </c>
      <c r="G32" s="8" t="inlineStr">
        <is>
          <t>3D print</t>
        </is>
      </c>
      <c r="H32" s="10" t="n">
        <v>0</v>
      </c>
      <c r="I32" s="10">
        <f>E32*H32</f>
        <v/>
      </c>
      <c r="J32" s="8" t="inlineStr"/>
    </row>
    <row r="33">
      <c r="A33" s="8" t="inlineStr">
        <is>
          <t>A</t>
        </is>
      </c>
      <c r="B33" s="8" t="inlineStr">
        <is>
          <t>Print</t>
        </is>
      </c>
      <c r="C33" s="8" t="inlineStr">
        <is>
          <t>Structure</t>
        </is>
      </c>
      <c r="D33" s="9" t="inlineStr">
        <is>
          <t>Top cover + wheel shroud</t>
        </is>
      </c>
      <c r="E33" s="8" t="n">
        <v>1</v>
      </c>
      <c r="F33" s="9" t="inlineStr">
        <is>
          <t>Cat-safety: shroud wheel gaps (&lt;4-6 mm or &gt;25 mm), cover electronics</t>
        </is>
      </c>
      <c r="G33" s="8" t="inlineStr">
        <is>
          <t>3D print</t>
        </is>
      </c>
      <c r="H33" s="10" t="n">
        <v>0</v>
      </c>
      <c r="I33" s="10">
        <f>E33*H33</f>
        <v/>
      </c>
      <c r="J33" s="8" t="inlineStr"/>
    </row>
    <row r="34">
      <c r="A34" s="8" t="inlineStr">
        <is>
          <t>A</t>
        </is>
      </c>
      <c r="B34" s="8" t="inlineStr">
        <is>
          <t>Print</t>
        </is>
      </c>
      <c r="C34" s="8" t="inlineStr">
        <is>
          <t>Structure</t>
        </is>
      </c>
      <c r="D34" s="9" t="inlineStr">
        <is>
          <t>Captive-lure boom arm</t>
        </is>
      </c>
      <c r="E34" s="8" t="n">
        <v>1</v>
      </c>
      <c r="F34" s="9" t="inlineStr">
        <is>
          <t>Rigid arm holding the lure, no free end</t>
        </is>
      </c>
      <c r="G34" s="8" t="inlineStr">
        <is>
          <t>3D print</t>
        </is>
      </c>
      <c r="H34" s="10" t="n">
        <v>0</v>
      </c>
      <c r="I34" s="10">
        <f>E34*H34</f>
        <v/>
      </c>
      <c r="J34" s="8" t="inlineStr"/>
    </row>
    <row r="35">
      <c r="A35" s="8" t="inlineStr">
        <is>
          <t>A</t>
        </is>
      </c>
      <c r="B35" s="8" t="inlineStr">
        <is>
          <t>Print</t>
        </is>
      </c>
      <c r="C35" s="8" t="inlineStr">
        <is>
          <t>Structure</t>
        </is>
      </c>
      <c r="D35" s="9" t="inlineStr">
        <is>
          <t>Battery + board mounts (optional)</t>
        </is>
      </c>
      <c r="E35" s="8" t="n">
        <v>1</v>
      </c>
      <c r="F35" s="9" t="inlineStr">
        <is>
          <t>Or use the 3M squares</t>
        </is>
      </c>
      <c r="G35" s="8" t="inlineStr">
        <is>
          <t>3D print</t>
        </is>
      </c>
      <c r="H35" s="10" t="n">
        <v>0</v>
      </c>
      <c r="I35" s="10">
        <f>E35*H35</f>
        <v/>
      </c>
      <c r="J35" s="8" t="inlineStr"/>
    </row>
    <row r="36">
      <c r="A36" s="8" t="inlineStr">
        <is>
          <t>A</t>
        </is>
      </c>
      <c r="B36" s="8" t="inlineStr">
        <is>
          <t>Have</t>
        </is>
      </c>
      <c r="C36" s="8" t="inlineStr">
        <is>
          <t>Compute</t>
        </is>
      </c>
      <c r="D36" s="9" t="inlineStr">
        <is>
          <t>Raspberry Pi Zero 2 W</t>
        </is>
      </c>
      <c r="E36" s="8" t="n">
        <v>1</v>
      </c>
      <c r="F36" s="9" t="inlineStr">
        <is>
          <t>In your Pi kit</t>
        </is>
      </c>
      <c r="G36" s="8" t="inlineStr">
        <is>
          <t>(have)</t>
        </is>
      </c>
      <c r="H36" s="10" t="n">
        <v>0</v>
      </c>
      <c r="I36" s="10">
        <f>E36*H36</f>
        <v/>
      </c>
      <c r="J36" s="8" t="inlineStr"/>
    </row>
    <row r="37">
      <c r="A37" s="8" t="inlineStr">
        <is>
          <t>A</t>
        </is>
      </c>
      <c r="B37" s="8" t="inlineStr">
        <is>
          <t>Have</t>
        </is>
      </c>
      <c r="C37" s="8" t="inlineStr">
        <is>
          <t>Compute</t>
        </is>
      </c>
      <c r="D37" s="9" t="inlineStr">
        <is>
          <t>2x20 GPIO header</t>
        </is>
      </c>
      <c r="E37" s="8" t="n">
        <v>1</v>
      </c>
      <c r="F37" s="9" t="inlineStr">
        <is>
          <t>In your Pi kit - solder it on (you do this at work)</t>
        </is>
      </c>
      <c r="G37" s="8" t="inlineStr">
        <is>
          <t>(have)</t>
        </is>
      </c>
      <c r="H37" s="10" t="n">
        <v>0</v>
      </c>
      <c r="I37" s="10">
        <f>E37*H37</f>
        <v/>
      </c>
      <c r="J37" s="8" t="inlineStr"/>
    </row>
    <row r="38">
      <c r="A38" s="8" t="inlineStr">
        <is>
          <t>A</t>
        </is>
      </c>
      <c r="B38" s="8" t="inlineStr">
        <is>
          <t>Have</t>
        </is>
      </c>
      <c r="C38" s="8" t="inlineStr">
        <is>
          <t>Compute</t>
        </is>
      </c>
      <c r="D38" s="9" t="inlineStr">
        <is>
          <t>Cables incl. USB power cable</t>
        </is>
      </c>
      <c r="E38" s="8" t="n">
        <v>1</v>
      </c>
      <c r="F38" s="9" t="inlineStr">
        <is>
          <t>In your Pi kit</t>
        </is>
      </c>
      <c r="G38" s="8" t="inlineStr">
        <is>
          <t>(have)</t>
        </is>
      </c>
      <c r="H38" s="10" t="n">
        <v>0</v>
      </c>
      <c r="I38" s="10">
        <f>E38*H38</f>
        <v/>
      </c>
      <c r="J38" s="8" t="inlineStr"/>
    </row>
    <row r="39">
      <c r="A39" s="8" t="inlineStr">
        <is>
          <t>A</t>
        </is>
      </c>
      <c r="B39" s="8" t="inlineStr">
        <is>
          <t>Have</t>
        </is>
      </c>
      <c r="C39" s="8" t="inlineStr">
        <is>
          <t>Chassis</t>
        </is>
      </c>
      <c r="D39" s="9" t="inlineStr">
        <is>
          <t>Adafruit 3216 chassis - frame + caster ball + hardware</t>
        </is>
      </c>
      <c r="E39" s="8" t="n">
        <v>1</v>
      </c>
      <c r="F39" s="9" t="inlineStr">
        <is>
          <t>Your base kit = the robot body</t>
        </is>
      </c>
      <c r="G39" s="8" t="inlineStr">
        <is>
          <t>(have)</t>
        </is>
      </c>
      <c r="H39" s="10" t="n">
        <v>0</v>
      </c>
      <c r="I39" s="10">
        <f>E39*H39</f>
        <v/>
      </c>
      <c r="J39" s="8" t="inlineStr"/>
    </row>
    <row r="40">
      <c r="A40" s="8" t="inlineStr">
        <is>
          <t>A</t>
        </is>
      </c>
      <c r="B40" s="8" t="inlineStr">
        <is>
          <t>Spare</t>
        </is>
      </c>
      <c r="C40" s="8" t="inlineStr">
        <is>
          <t>Drivetrain</t>
        </is>
      </c>
      <c r="D40" s="9" t="inlineStr">
        <is>
          <t>3216 DC motors + 2 wheels</t>
        </is>
      </c>
      <c r="E40" s="8" t="n">
        <v>1</v>
      </c>
      <c r="F40" s="9" t="inlineStr">
        <is>
          <t>Superseded by the N20 drivetrain - keep as spares / backup</t>
        </is>
      </c>
      <c r="G40" s="8" t="inlineStr">
        <is>
          <t>(have)</t>
        </is>
      </c>
      <c r="H40" s="10" t="n">
        <v>0</v>
      </c>
      <c r="I40" s="10">
        <f>E40*H40</f>
        <v/>
      </c>
      <c r="J40" s="8" t="inlineStr"/>
    </row>
    <row r="41">
      <c r="A41" s="8" t="inlineStr">
        <is>
          <t>B</t>
        </is>
      </c>
      <c r="B41" s="8" t="inlineStr">
        <is>
          <t>Buy</t>
        </is>
      </c>
      <c r="C41" s="8" t="inlineStr">
        <is>
          <t>Perception</t>
        </is>
      </c>
      <c r="D41" s="9" t="inlineStr">
        <is>
          <t>High-contrast collar / tag for Roy</t>
        </is>
      </c>
      <c r="E41" s="8" t="n">
        <v>1</v>
      </c>
      <c r="F41" s="9" t="inlineStr">
        <is>
          <t>Stage B is otherwise SOFTWARE-ONLY on Stage-A hardware: the onboard HSV blob tracker locks onto this collar. Calibrate blob-area -&gt; range to its known size. No new electronics</t>
        </is>
      </c>
      <c r="G41" s="8" t="inlineStr">
        <is>
          <t>pet store / craft</t>
        </is>
      </c>
      <c r="H41" s="10" t="n">
        <v>5</v>
      </c>
      <c r="I41" s="10">
        <f>E41*H41</f>
        <v/>
      </c>
      <c r="J41" s="8" t="inlineStr"/>
    </row>
    <row r="42">
      <c r="A42" s="8" t="inlineStr">
        <is>
          <t>C</t>
        </is>
      </c>
      <c r="B42" s="8" t="inlineStr">
        <is>
          <t>Buy</t>
        </is>
      </c>
      <c r="C42" s="8" t="inlineStr">
        <is>
          <t>Compute</t>
        </is>
      </c>
      <c r="D42" s="9" t="inlineStr">
        <is>
          <t>Raspberry Pi 5 (4-8 GB)</t>
        </is>
      </c>
      <c r="E42" s="8" t="n">
        <v>1</v>
      </c>
      <c r="F42" s="9" t="inlineStr">
        <is>
          <t>Brain upgrade for onboard cat detection (Zero 2 W can't). Reuses sensors / drivetrain / power / dock. Iteration 2+</t>
        </is>
      </c>
      <c r="G42" s="8" t="inlineStr">
        <is>
          <t>Amazon</t>
        </is>
      </c>
      <c r="H42" s="10" t="n">
        <v>70</v>
      </c>
      <c r="I42" s="10">
        <f>E42*H42</f>
        <v/>
      </c>
      <c r="J42" s="8" t="inlineStr"/>
    </row>
    <row r="43">
      <c r="A43" s="8" t="inlineStr">
        <is>
          <t>C</t>
        </is>
      </c>
      <c r="B43" s="8" t="inlineStr">
        <is>
          <t>Buy</t>
        </is>
      </c>
      <c r="C43" s="8" t="inlineStr">
        <is>
          <t>Compute</t>
        </is>
      </c>
      <c r="D43" s="9" t="inlineStr">
        <is>
          <t>AI accelerator - Coral USB TPU or Pi AI HAT (Hailo-8L)</t>
        </is>
      </c>
      <c r="E43" s="8" t="n">
        <v>1</v>
      </c>
      <c r="F43" s="9" t="inlineStr">
        <is>
          <t>Runs a real on-device cat detector at useful fps, no collar. Pairs with the Pi 5</t>
        </is>
      </c>
      <c r="G43" s="8" t="inlineStr">
        <is>
          <t>Coral / Pimoroni</t>
        </is>
      </c>
      <c r="H43" s="10" t="n">
        <v>65</v>
      </c>
      <c r="I43" s="10">
        <f>E43*H43</f>
        <v/>
      </c>
      <c r="J43" s="8" t="inlineStr"/>
    </row>
    <row r="44">
      <c r="A44" s="8" t="inlineStr">
        <is>
          <t>C</t>
        </is>
      </c>
      <c r="B44" s="8" t="inlineStr">
        <is>
          <t>Buy</t>
        </is>
      </c>
      <c r="C44" s="8" t="inlineStr">
        <is>
          <t>Power</t>
        </is>
      </c>
      <c r="D44" s="9" t="inlineStr">
        <is>
          <t>Larger battery / &gt;=3A supply</t>
        </is>
      </c>
      <c r="E44" s="8" t="n">
        <v>1</v>
      </c>
      <c r="F44" s="9" t="inlineStr">
        <is>
          <t>Pi 5 + accelerator draw far more than the Zero 2 W</t>
        </is>
      </c>
      <c r="G44" s="8" t="inlineStr">
        <is>
          <t>Amazon</t>
        </is>
      </c>
      <c r="H44" s="10" t="n">
        <v>15</v>
      </c>
      <c r="I44" s="10">
        <f>E44*H44</f>
        <v/>
      </c>
      <c r="J44" s="8" t="inlineStr"/>
    </row>
  </sheetData>
  <autoFilter ref="A9:J44"/>
  <mergeCells count="2">
    <mergeCell ref="A1:J1"/>
    <mergeCell ref="A2:J2"/>
  </mergeCells>
  <conditionalFormatting sqref="B10:B44">
    <cfRule type="cellIs" priority="1" operator="equal" dxfId="0">
      <formula>"Buy"</formula>
    </cfRule>
    <cfRule type="cellIs" priority="2" operator="equal" dxfId="1">
      <formula>"Have"</formula>
    </cfRule>
    <cfRule type="cellIs" priority="3" operator="equal" dxfId="2">
      <formula>"Print"</formula>
    </cfRule>
    <cfRule type="cellIs" priority="4" operator="equal" dxfId="3">
      <formula>"Spare"</formula>
    </cfRule>
  </conditionalFormatting>
  <dataValidations count="2">
    <dataValidation sqref="A10:A44" showDropDown="0" showInputMessage="0" showErrorMessage="0" allowBlank="1" type="list">
      <formula1>"A,B,C"</formula1>
    </dataValidation>
    <dataValidation sqref="B10:B44" showDropDown="0" showInputMessage="0" showErrorMessage="0" allowBlank="1" type="list">
      <formula1>"Buy,Print,Have,Spare"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s="1" t="inlineStr">
        <is>
          <t>Tools (assumed on hand)</t>
        </is>
      </c>
    </row>
    <row r="3">
      <c r="A3" s="11" t="inlineStr">
        <is>
          <t>Tool</t>
        </is>
      </c>
      <c r="B3" s="11" t="inlineStr">
        <is>
          <t>Needed for</t>
        </is>
      </c>
    </row>
    <row r="4">
      <c r="A4" s="12" t="inlineStr">
        <is>
          <t>Soldering iron + solder</t>
        </is>
      </c>
      <c r="B4" s="9" t="inlineStr">
        <is>
          <t>Header onto the Pi + wire boards/motors (becqu does this at work)</t>
        </is>
      </c>
    </row>
    <row r="5">
      <c r="A5" s="12" t="inlineStr">
        <is>
          <t>Multimeter</t>
        </is>
      </c>
      <c r="B5" s="9" t="inlineStr">
        <is>
          <t>Set each MT3608 to its target voltage BEFORE connecting the Pi</t>
        </is>
      </c>
    </row>
    <row r="6">
      <c r="A6" s="12" t="inlineStr">
        <is>
          <t>3D printer</t>
        </is>
      </c>
      <c r="B6" s="9" t="inlineStr">
        <is>
          <t>On hand - for the Print rows</t>
        </is>
      </c>
    </row>
    <row r="7">
      <c r="A7" s="12" t="inlineStr">
        <is>
          <t>Digital calipers</t>
        </is>
      </c>
      <c r="B7" s="9" t="inlineStr">
        <is>
          <t>Measure real wheel OD + track for the sim refit</t>
        </is>
      </c>
    </row>
    <row r="8">
      <c r="A8" s="12" t="inlineStr">
        <is>
          <t>Kitchen scale</t>
        </is>
      </c>
      <c r="B8" s="9" t="inlineStr">
        <is>
          <t>Assembled weight for the sim refit</t>
        </is>
      </c>
    </row>
    <row r="9">
      <c r="A9" s="12" t="inlineStr">
        <is>
          <t>Small screwdriver / hex set</t>
        </is>
      </c>
      <c r="B9" s="9" t="inlineStr">
        <is>
          <t>Assembly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2026-06-29T03:27:05Z</dcterms:created>
  <dcterms:modified xsi:type="dcterms:W3CDTF">2026-06-29T03:27:05Z</dcterms:modified>
</cp:coreProperties>
</file>