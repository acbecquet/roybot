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>
    <definedName name="_xlnm._FilterDatabase" localSheetId="0" hidden="1">'BOM'!$A$8:$I$38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</font>
    <font>
      <b val="1"/>
      <color rgb="00B3261E"/>
    </font>
    <font>
      <b val="1"/>
      <color rgb="002E7D32"/>
    </font>
    <font>
      <b val="1"/>
      <color rgb="001F3A8A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4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BE3E0"/>
        </patternFill>
      </fill>
    </dxf>
    <dxf>
      <fill>
        <patternFill patternType="solid">
          <fgColor rgb="00E3F2E5"/>
        </patternFill>
      </fill>
    </dxf>
    <dxf>
      <fill>
        <patternFill patternType="solid">
          <fgColor rgb="00E1ECF7"/>
        </patternFill>
      </fill>
    </dxf>
    <dxf>
      <fill>
        <patternFill patternType="solid">
          <fgColor rgb="00EC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42" customWidth="1" min="3" max="3"/>
    <col width="5" customWidth="1" min="4" max="4"/>
    <col width="50" customWidth="1" min="5" max="5"/>
    <col width="22" customWidth="1" min="6" max="6"/>
    <col width="13" customWidth="1" min="7" max="7"/>
    <col width="13" customWidth="1" min="8" max="8"/>
    <col width="22" customWidth="1" min="9" max="9"/>
  </cols>
  <sheetData>
    <row r="1">
      <c r="A1" s="1" t="inlineStr">
        <is>
          <t>Roybot - First-Prototype Bill of Materials</t>
        </is>
      </c>
    </row>
    <row r="2" ht="54" customHeight="1">
      <c r="A2" s="2" t="inlineStr">
        <is>
          <t>GrowBot-style first prototype (drive + chase brain + guts + portable power). Dock and cliff/bump sensors deferred to iteration 2. RED = buy (your shopping list), BLUE = 3D-print, GREEN = already have, GREY = spare. Power = 1S-&gt;TP4056-&gt;dual MT3608 (5.1V Pi / 6.0V motors). Prices are rough ballparks, not quotes.</t>
        </is>
      </c>
    </row>
    <row r="4">
      <c r="F4" s="3" t="inlineStr">
        <is>
          <t>TO BUY (your shopping list):</t>
        </is>
      </c>
      <c r="H4" s="4">
        <f>SUMIF(A9:A38,"Buy",H9:H38)</f>
        <v/>
      </c>
    </row>
    <row r="5">
      <c r="F5" s="3" t="inlineStr">
        <is>
          <t>Already have / spare:</t>
        </is>
      </c>
      <c r="H5" s="5">
        <f>SUMIF(A9:A38,"Have",H9:H38)+SUMIF(A9:A38,"Spare",H9:H38)</f>
        <v/>
      </c>
    </row>
    <row r="6">
      <c r="F6" s="3" t="inlineStr">
        <is>
          <t>Print count:</t>
        </is>
      </c>
      <c r="H6" s="6">
        <f>COUNTIF(A9:A38,"Print")</f>
        <v/>
      </c>
    </row>
    <row r="8">
      <c r="A8" s="7" t="inlineStr">
        <is>
          <t>Status</t>
        </is>
      </c>
      <c r="B8" s="7" t="inlineStr">
        <is>
          <t>Group</t>
        </is>
      </c>
      <c r="C8" s="7" t="inlineStr">
        <is>
          <t>Component</t>
        </is>
      </c>
      <c r="D8" s="7" t="inlineStr">
        <is>
          <t>Qty</t>
        </is>
      </c>
      <c r="E8" s="7" t="inlineStr">
        <is>
          <t>Spec / note</t>
        </is>
      </c>
      <c r="F8" s="7" t="inlineStr">
        <is>
          <t>Suggested source</t>
        </is>
      </c>
      <c r="G8" s="7" t="inlineStr">
        <is>
          <t>Est. unit (USD)</t>
        </is>
      </c>
      <c r="H8" s="7" t="inlineStr">
        <is>
          <t>Est. line (USD)</t>
        </is>
      </c>
      <c r="I8" s="7" t="inlineStr">
        <is>
          <t>Link / Part # (you fill)</t>
        </is>
      </c>
    </row>
    <row r="9">
      <c r="A9" s="8" t="inlineStr">
        <is>
          <t>Buy</t>
        </is>
      </c>
      <c r="B9" s="8" t="inlineStr">
        <is>
          <t>Drivetrain</t>
        </is>
      </c>
      <c r="C9" s="9" t="inlineStr">
        <is>
          <t>Pololu HPCB 6V 100:1 micro metal gearmotor, EXTENDED back-shaft</t>
        </is>
      </c>
      <c r="D9" s="8" t="n">
        <v>2</v>
      </c>
      <c r="E9" s="9" t="inlineStr">
        <is>
          <t>Verified pick (~0.75 m/s, strong torque). EXTENDED shaft is REQUIRED so the encoder mounts. Replaces the 3216's spare DC motors</t>
        </is>
      </c>
      <c r="F9" s="8" t="inlineStr">
        <is>
          <t>Pololu</t>
        </is>
      </c>
      <c r="G9" s="10" t="n">
        <v>18</v>
      </c>
      <c r="H9" s="10">
        <f>D9*G9</f>
        <v/>
      </c>
      <c r="I9" s="8" t="inlineStr"/>
    </row>
    <row r="10">
      <c r="A10" s="8" t="inlineStr">
        <is>
          <t>Buy</t>
        </is>
      </c>
      <c r="B10" s="8" t="inlineStr">
        <is>
          <t>Drivetrain</t>
        </is>
      </c>
      <c r="C10" s="9" t="inlineStr">
        <is>
          <t>Pololu magnetic quadrature encoder pair (micro metal gearmotor)</t>
        </is>
      </c>
      <c r="D10" s="8" t="n">
        <v>1</v>
      </c>
      <c r="E10" s="9" t="inlineStr">
        <is>
          <t>1200 CPR/wheel-rev at 100:1 (already x4-decoded; don't x4 again). VCC=3.3V. Closed-loop speed + odometry</t>
        </is>
      </c>
      <c r="F10" s="8" t="inlineStr">
        <is>
          <t>Pololu</t>
        </is>
      </c>
      <c r="G10" s="10" t="n">
        <v>9</v>
      </c>
      <c r="H10" s="10">
        <f>D10*G10</f>
        <v/>
      </c>
      <c r="I10" s="8" t="inlineStr"/>
    </row>
    <row r="11">
      <c r="A11" s="8" t="inlineStr">
        <is>
          <t>Buy</t>
        </is>
      </c>
      <c r="B11" s="8" t="inlineStr">
        <is>
          <t>Drivetrain</t>
        </is>
      </c>
      <c r="C11" s="9" t="inlineStr">
        <is>
          <t>60 mm wheel for N20 (3 mm D-shaft), rubber tire</t>
        </is>
      </c>
      <c r="D11" s="8" t="n">
        <v>2</v>
      </c>
      <c r="E11" s="9" t="inlineStr">
        <is>
          <t>3216 wheels don't fit the N20 shaft. Buy rubber-tired (don't print - need grip)</t>
        </is>
      </c>
      <c r="F11" s="8" t="inlineStr">
        <is>
          <t>Pololu / Amazon</t>
        </is>
      </c>
      <c r="G11" s="10" t="n">
        <v>4</v>
      </c>
      <c r="H11" s="10">
        <f>D11*G11</f>
        <v/>
      </c>
      <c r="I11" s="8" t="inlineStr"/>
    </row>
    <row r="12">
      <c r="A12" s="8" t="inlineStr">
        <is>
          <t>Buy</t>
        </is>
      </c>
      <c r="B12" s="8" t="inlineStr">
        <is>
          <t>Drivetrain</t>
        </is>
      </c>
      <c r="C12" s="9" t="inlineStr">
        <is>
          <t>TB6612FNG dual H-bridge breakout</t>
        </is>
      </c>
      <c r="D12" s="8" t="n">
        <v>1</v>
      </c>
      <c r="E12" s="9" t="inlineStr">
        <is>
          <t>Motor driver. VM = 6V motor rail, VCC = 3.3V, PWM &gt;=20 kHz, encoder-static stall cutoff</t>
        </is>
      </c>
      <c r="F12" s="8" t="inlineStr">
        <is>
          <t>Adafruit / Pololu</t>
        </is>
      </c>
      <c r="G12" s="10" t="n">
        <v>5</v>
      </c>
      <c r="H12" s="10">
        <f>D12*G12</f>
        <v/>
      </c>
      <c r="I12" s="8" t="inlineStr"/>
    </row>
    <row r="13">
      <c r="A13" s="8" t="inlineStr">
        <is>
          <t>Buy</t>
        </is>
      </c>
      <c r="B13" s="8" t="inlineStr">
        <is>
          <t>Compute</t>
        </is>
      </c>
      <c r="C13" s="9" t="inlineStr">
        <is>
          <t>microSD card, 32 GB Class 10 / A1</t>
        </is>
      </c>
      <c r="D13" s="8" t="n">
        <v>1</v>
      </c>
      <c r="E13" s="9" t="inlineStr">
        <is>
          <t>NOT in your Pi kit! Raspberry Pi OS Lite 64-bit (GrowBot #2)</t>
        </is>
      </c>
      <c r="F13" s="8" t="inlineStr">
        <is>
          <t>Amazon</t>
        </is>
      </c>
      <c r="G13" s="10" t="n">
        <v>8</v>
      </c>
      <c r="H13" s="10">
        <f>D13*G13</f>
        <v/>
      </c>
      <c r="I13" s="8" t="inlineStr"/>
    </row>
    <row r="14">
      <c r="A14" s="8" t="inlineStr">
        <is>
          <t>Buy</t>
        </is>
      </c>
      <c r="B14" s="8" t="inlineStr">
        <is>
          <t>Sensing</t>
        </is>
      </c>
      <c r="C14" s="9" t="inlineStr">
        <is>
          <t>OV5647 camera - Pi ZERO version (narrow 22-&gt;15 CSI ribbon)</t>
        </is>
      </c>
      <c r="D14" s="8" t="n">
        <v>1</v>
      </c>
      <c r="E14" s="9" t="inlineStr">
        <is>
          <t>MUST be the Pi Zero narrow-ribbon version, NOT the standard camera ribbon (GrowBot #7)</t>
        </is>
      </c>
      <c r="F14" s="8" t="inlineStr">
        <is>
          <t>Amazon</t>
        </is>
      </c>
      <c r="G14" s="10" t="n">
        <v>12</v>
      </c>
      <c r="H14" s="10">
        <f>D14*G14</f>
        <v/>
      </c>
      <c r="I14" s="8" t="inlineStr"/>
    </row>
    <row r="15">
      <c r="A15" s="8" t="inlineStr">
        <is>
          <t>Buy</t>
        </is>
      </c>
      <c r="B15" s="8" t="inlineStr">
        <is>
          <t>Sensing</t>
        </is>
      </c>
      <c r="C15" s="9" t="inlineStr">
        <is>
          <t>MPU-6050 IMU (GY-521)</t>
        </is>
      </c>
      <c r="D15" s="8" t="n">
        <v>1</v>
      </c>
      <c r="E15" s="9" t="inlineStr">
        <is>
          <t>Tip/stall reflexes + proprioception. I2C 0x68, 3.3V (GrowBot #6)</t>
        </is>
      </c>
      <c r="F15" s="8" t="inlineStr">
        <is>
          <t>Amazon</t>
        </is>
      </c>
      <c r="G15" s="10" t="n">
        <v>4</v>
      </c>
      <c r="H15" s="10">
        <f>D15*G15</f>
        <v/>
      </c>
      <c r="I15" s="8" t="inlineStr"/>
    </row>
    <row r="16">
      <c r="A16" s="8" t="inlineStr">
        <is>
          <t>Buy</t>
        </is>
      </c>
      <c r="B16" s="8" t="inlineStr">
        <is>
          <t>Voice/Lights</t>
        </is>
      </c>
      <c r="C16" s="9" t="inlineStr">
        <is>
          <t>INMP441 I2S microphone</t>
        </is>
      </c>
      <c r="D16" s="8" t="n">
        <v>1</v>
      </c>
      <c r="E16" s="9" t="inlineStr">
        <is>
          <t>Wake-word / voice in. 3.3V (GrowBot #8)</t>
        </is>
      </c>
      <c r="F16" s="8" t="inlineStr">
        <is>
          <t>Amazon</t>
        </is>
      </c>
      <c r="G16" s="10" t="n">
        <v>4</v>
      </c>
      <c r="H16" s="10">
        <f>D16*G16</f>
        <v/>
      </c>
      <c r="I16" s="8" t="inlineStr"/>
    </row>
    <row r="17">
      <c r="A17" s="8" t="inlineStr">
        <is>
          <t>Buy</t>
        </is>
      </c>
      <c r="B17" s="8" t="inlineStr">
        <is>
          <t>Voice/Lights</t>
        </is>
      </c>
      <c r="C17" s="9" t="inlineStr">
        <is>
          <t>MAX98357A I2S amplifier</t>
        </is>
      </c>
      <c r="D17" s="8" t="n">
        <v>1</v>
      </c>
      <c r="E17" s="9" t="inlineStr">
        <is>
          <t>Speaker driver, 3.2W class-D (GrowBot #9)</t>
        </is>
      </c>
      <c r="F17" s="8" t="inlineStr">
        <is>
          <t>Amazon</t>
        </is>
      </c>
      <c r="G17" s="10" t="n">
        <v>5</v>
      </c>
      <c r="H17" s="10">
        <f>D17*G17</f>
        <v/>
      </c>
      <c r="I17" s="8" t="inlineStr"/>
    </row>
    <row r="18">
      <c r="A18" s="8" t="inlineStr">
        <is>
          <t>Buy</t>
        </is>
      </c>
      <c r="B18" s="8" t="inlineStr">
        <is>
          <t>Voice/Lights</t>
        </is>
      </c>
      <c r="C18" s="9" t="inlineStr">
        <is>
          <t>Speaker 8 ohm, 0.5-3 W (small)</t>
        </is>
      </c>
      <c r="D18" s="8" t="n">
        <v>1</v>
      </c>
      <c r="E18" s="9" t="inlineStr">
        <is>
          <t>Audio out (GrowBot #10)</t>
        </is>
      </c>
      <c r="F18" s="8" t="inlineStr">
        <is>
          <t>Amazon</t>
        </is>
      </c>
      <c r="G18" s="10" t="n">
        <v>2</v>
      </c>
      <c r="H18" s="10">
        <f>D18*G18</f>
        <v/>
      </c>
      <c r="I18" s="8" t="inlineStr"/>
    </row>
    <row r="19">
      <c r="A19" s="8" t="inlineStr">
        <is>
          <t>Buy</t>
        </is>
      </c>
      <c r="B19" s="8" t="inlineStr">
        <is>
          <t>Voice/Lights</t>
        </is>
      </c>
      <c r="C19" s="9" t="inlineStr">
        <is>
          <t>WS2812B LED ring, 7 px, 5 V</t>
        </is>
      </c>
      <c r="D19" s="8" t="n">
        <v>1</v>
      </c>
      <c r="E19" s="9" t="inlineStr">
        <is>
          <t>Expressive 'personality' output (GrowBot #11)</t>
        </is>
      </c>
      <c r="F19" s="8" t="inlineStr">
        <is>
          <t>Amazon</t>
        </is>
      </c>
      <c r="G19" s="10" t="n">
        <v>3</v>
      </c>
      <c r="H19" s="10">
        <f>D19*G19</f>
        <v/>
      </c>
      <c r="I19" s="8" t="inlineStr"/>
    </row>
    <row r="20">
      <c r="A20" s="8" t="inlineStr">
        <is>
          <t>Buy</t>
        </is>
      </c>
      <c r="B20" s="8" t="inlineStr">
        <is>
          <t>Power</t>
        </is>
      </c>
      <c r="C20" s="9" t="inlineStr">
        <is>
          <t>18650 Li-ion cell, 2500-3500 mAh (1S)</t>
        </is>
      </c>
      <c r="D20" s="8" t="n">
        <v>1</v>
      </c>
      <c r="E20" s="9" t="inlineStr">
        <is>
          <t>Main battery. Bigger than GrowBot's 1S for N20 headroom + runtime (GrowBot #12)</t>
        </is>
      </c>
      <c r="F20" s="8" t="inlineStr">
        <is>
          <t>Amazon</t>
        </is>
      </c>
      <c r="G20" s="10" t="n">
        <v>6</v>
      </c>
      <c r="H20" s="10">
        <f>D20*G20</f>
        <v/>
      </c>
      <c r="I20" s="8" t="inlineStr"/>
    </row>
    <row r="21">
      <c r="A21" s="8" t="inlineStr">
        <is>
          <t>Buy</t>
        </is>
      </c>
      <c r="B21" s="8" t="inlineStr">
        <is>
          <t>Power</t>
        </is>
      </c>
      <c r="C21" s="9" t="inlineStr">
        <is>
          <t>18650 battery holder</t>
        </is>
      </c>
      <c r="D21" s="8" t="n">
        <v>1</v>
      </c>
      <c r="E21" s="9" t="inlineStr">
        <is>
          <t>Cell holder + contacts</t>
        </is>
      </c>
      <c r="F21" s="8" t="inlineStr">
        <is>
          <t>Amazon</t>
        </is>
      </c>
      <c r="G21" s="10" t="n">
        <v>2</v>
      </c>
      <c r="H21" s="10">
        <f>D21*G21</f>
        <v/>
      </c>
      <c r="I21" s="8" t="inlineStr"/>
    </row>
    <row r="22">
      <c r="A22" s="8" t="inlineStr">
        <is>
          <t>Buy</t>
        </is>
      </c>
      <c r="B22" s="8" t="inlineStr">
        <is>
          <t>Power</t>
        </is>
      </c>
      <c r="C22" s="9" t="inlineStr">
        <is>
          <t>TP4056 USB-C charge + protect module</t>
        </is>
      </c>
      <c r="D22" s="8" t="n">
        <v>1</v>
      </c>
      <c r="E22" s="9" t="inlineStr">
        <is>
          <t>In-place recharging; get the PROTECTED version with OUT+/OUT- (GrowBot #13)</t>
        </is>
      </c>
      <c r="F22" s="8" t="inlineStr">
        <is>
          <t>Amazon</t>
        </is>
      </c>
      <c r="G22" s="10" t="n">
        <v>2</v>
      </c>
      <c r="H22" s="10">
        <f>D22*G22</f>
        <v/>
      </c>
      <c r="I22" s="8" t="inlineStr"/>
    </row>
    <row r="23">
      <c r="A23" s="8" t="inlineStr">
        <is>
          <t>Buy</t>
        </is>
      </c>
      <c r="B23" s="8" t="inlineStr">
        <is>
          <t>Power</t>
        </is>
      </c>
      <c r="C23" s="9" t="inlineStr">
        <is>
          <t>MT3608 boost module (x2)</t>
        </is>
      </c>
      <c r="D23" s="8" t="n">
        <v>2</v>
      </c>
      <c r="E23" s="9" t="inlineStr">
        <is>
          <t>Dual-rail: set one to ~5.1V (Pi+logic+amp+LED), one to ~6.0V (motors). Isolates Pi from motor surge; GrowBot note #5 endorses a 2nd MT3608 for motors (GrowBot #14)</t>
        </is>
      </c>
      <c r="F23" s="8" t="inlineStr">
        <is>
          <t>Amazon</t>
        </is>
      </c>
      <c r="G23" s="10" t="n">
        <v>2</v>
      </c>
      <c r="H23" s="10">
        <f>D23*G23</f>
        <v/>
      </c>
      <c r="I23" s="8" t="inlineStr"/>
    </row>
    <row r="24">
      <c r="A24" s="8" t="inlineStr">
        <is>
          <t>Buy</t>
        </is>
      </c>
      <c r="B24" s="8" t="inlineStr">
        <is>
          <t>Power</t>
        </is>
      </c>
      <c r="C24" s="9" t="inlineStr">
        <is>
          <t>Electrolytic cap 470-1000 uF, 10 V+</t>
        </is>
      </c>
      <c r="D24" s="8" t="n">
        <v>2</v>
      </c>
      <c r="E24" s="9" t="inlineStr">
        <is>
          <t>One across each rail to cover surge dips (GrowBot #15)</t>
        </is>
      </c>
      <c r="F24" s="8" t="inlineStr">
        <is>
          <t>Amazon</t>
        </is>
      </c>
      <c r="G24" s="10" t="n">
        <v>1</v>
      </c>
      <c r="H24" s="10">
        <f>D24*G24</f>
        <v/>
      </c>
      <c r="I24" s="8" t="inlineStr"/>
    </row>
    <row r="25">
      <c r="A25" s="8" t="inlineStr">
        <is>
          <t>Buy</t>
        </is>
      </c>
      <c r="B25" s="8" t="inlineStr">
        <is>
          <t>Power</t>
        </is>
      </c>
      <c r="C25" s="9" t="inlineStr">
        <is>
          <t>SPST power switch</t>
        </is>
      </c>
      <c r="D25" s="8" t="n">
        <v>1</v>
      </c>
      <c r="E25" s="9" t="inlineStr">
        <is>
          <t>Main cutoff (GrowBot #16)</t>
        </is>
      </c>
      <c r="F25" s="8" t="inlineStr">
        <is>
          <t>Amazon</t>
        </is>
      </c>
      <c r="G25" s="10" t="n">
        <v>2</v>
      </c>
      <c r="H25" s="10">
        <f>D25*G25</f>
        <v/>
      </c>
      <c r="I25" s="8" t="inlineStr"/>
    </row>
    <row r="26">
      <c r="A26" s="8" t="inlineStr">
        <is>
          <t>Buy</t>
        </is>
      </c>
      <c r="B26" s="8" t="inlineStr">
        <is>
          <t>Build</t>
        </is>
      </c>
      <c r="C26" s="9" t="inlineStr">
        <is>
          <t>Hookup wire + Dupont jumpers</t>
        </is>
      </c>
      <c r="D26" s="8" t="n">
        <v>1</v>
      </c>
      <c r="E26" s="9" t="inlineStr">
        <is>
          <t>Wire per the GrowBot diagram + the TB6612</t>
        </is>
      </c>
      <c r="F26" s="8" t="inlineStr">
        <is>
          <t>Amazon</t>
        </is>
      </c>
      <c r="G26" s="10" t="n">
        <v>8</v>
      </c>
      <c r="H26" s="10">
        <f>D26*G26</f>
        <v/>
      </c>
      <c r="I26" s="8" t="inlineStr"/>
    </row>
    <row r="27">
      <c r="A27" s="8" t="inlineStr">
        <is>
          <t>Buy</t>
        </is>
      </c>
      <c r="B27" s="8" t="inlineStr">
        <is>
          <t>Build</t>
        </is>
      </c>
      <c r="C27" s="9" t="inlineStr">
        <is>
          <t>3M double-sided mounting squares</t>
        </is>
      </c>
      <c r="D27" s="8" t="n">
        <v>1</v>
      </c>
      <c r="E27" s="9" t="inlineStr">
        <is>
          <t>GrowBot's no-screw board mounting (or print mounts)</t>
        </is>
      </c>
      <c r="F27" s="8" t="inlineStr">
        <is>
          <t>Amazon</t>
        </is>
      </c>
      <c r="G27" s="10" t="n">
        <v>5</v>
      </c>
      <c r="H27" s="10">
        <f>D27*G27</f>
        <v/>
      </c>
      <c r="I27" s="8" t="inlineStr"/>
    </row>
    <row r="28">
      <c r="A28" s="8" t="inlineStr">
        <is>
          <t>Buy</t>
        </is>
      </c>
      <c r="B28" s="8" t="inlineStr">
        <is>
          <t>Build</t>
        </is>
      </c>
      <c r="C28" s="9" t="inlineStr">
        <is>
          <t>PETG filament (known-safe), 1 spool</t>
        </is>
      </c>
      <c r="D28" s="8" t="n">
        <v>1</v>
      </c>
      <c r="E28" s="9" t="inlineStr">
        <is>
          <t>For the printed parts below - skip if your printer came with filament</t>
        </is>
      </c>
      <c r="F28" s="8" t="inlineStr">
        <is>
          <t>Amazon</t>
        </is>
      </c>
      <c r="G28" s="10" t="n">
        <v>25</v>
      </c>
      <c r="H28" s="10">
        <f>D28*G28</f>
        <v/>
      </c>
      <c r="I28" s="8" t="inlineStr"/>
    </row>
    <row r="29">
      <c r="A29" s="8" t="inlineStr">
        <is>
          <t>Buy</t>
        </is>
      </c>
      <c r="B29" s="8" t="inlineStr">
        <is>
          <t>Safety</t>
        </is>
      </c>
      <c r="C29" s="9" t="inlineStr">
        <is>
          <t>Captive lure (feather/pom on short rigid/braided arm)</t>
        </is>
      </c>
      <c r="D29" s="8" t="n">
        <v>1</v>
      </c>
      <c r="E29" s="9" t="inlineStr">
        <is>
          <t>#1 cat-safety item: NO free end, over-molded. Attended play only</t>
        </is>
      </c>
      <c r="F29" s="8" t="inlineStr">
        <is>
          <t>craft / Amazon</t>
        </is>
      </c>
      <c r="G29" s="10" t="n">
        <v>5</v>
      </c>
      <c r="H29" s="10">
        <f>D29*G29</f>
        <v/>
      </c>
      <c r="I29" s="8" t="inlineStr"/>
    </row>
    <row r="30">
      <c r="A30" s="8" t="inlineStr">
        <is>
          <t>Print</t>
        </is>
      </c>
      <c r="B30" s="8" t="inlineStr">
        <is>
          <t>Drivetrain</t>
        </is>
      </c>
      <c r="C30" s="9" t="inlineStr">
        <is>
          <t>N20 -&gt; 3216 motor-mount adapter</t>
        </is>
      </c>
      <c r="D30" s="8" t="n">
        <v>2</v>
      </c>
      <c r="E30" s="9" t="inlineStr">
        <is>
          <t>The 3216's mounts fit its DC motors, not N20s - print an adapter bracket</t>
        </is>
      </c>
      <c r="F30" s="8" t="inlineStr">
        <is>
          <t>3D print</t>
        </is>
      </c>
      <c r="G30" s="10" t="n">
        <v>0</v>
      </c>
      <c r="H30" s="10">
        <f>D30*G30</f>
        <v/>
      </c>
      <c r="I30" s="8" t="inlineStr"/>
    </row>
    <row r="31">
      <c r="A31" s="8" t="inlineStr">
        <is>
          <t>Print</t>
        </is>
      </c>
      <c r="B31" s="8" t="inlineStr">
        <is>
          <t>Structure</t>
        </is>
      </c>
      <c r="C31" s="9" t="inlineStr">
        <is>
          <t>Top cover + wheel shroud</t>
        </is>
      </c>
      <c r="D31" s="8" t="n">
        <v>1</v>
      </c>
      <c r="E31" s="9" t="inlineStr">
        <is>
          <t>Cat-safety: shroud wheel gaps (&lt;4-6 mm or &gt;25 mm), cover the electronics</t>
        </is>
      </c>
      <c r="F31" s="8" t="inlineStr">
        <is>
          <t>3D print</t>
        </is>
      </c>
      <c r="G31" s="10" t="n">
        <v>0</v>
      </c>
      <c r="H31" s="10">
        <f>D31*G31</f>
        <v/>
      </c>
      <c r="I31" s="8" t="inlineStr"/>
    </row>
    <row r="32">
      <c r="A32" s="8" t="inlineStr">
        <is>
          <t>Print</t>
        </is>
      </c>
      <c r="B32" s="8" t="inlineStr">
        <is>
          <t>Structure</t>
        </is>
      </c>
      <c r="C32" s="9" t="inlineStr">
        <is>
          <t>Captive-lure boom arm</t>
        </is>
      </c>
      <c r="D32" s="8" t="n">
        <v>1</v>
      </c>
      <c r="E32" s="9" t="inlineStr">
        <is>
          <t>Rigid arm holding the lure with no free end</t>
        </is>
      </c>
      <c r="F32" s="8" t="inlineStr">
        <is>
          <t>3D print</t>
        </is>
      </c>
      <c r="G32" s="10" t="n">
        <v>0</v>
      </c>
      <c r="H32" s="10">
        <f>D32*G32</f>
        <v/>
      </c>
      <c r="I32" s="8" t="inlineStr"/>
    </row>
    <row r="33">
      <c r="A33" s="8" t="inlineStr">
        <is>
          <t>Print</t>
        </is>
      </c>
      <c r="B33" s="8" t="inlineStr">
        <is>
          <t>Structure</t>
        </is>
      </c>
      <c r="C33" s="9" t="inlineStr">
        <is>
          <t>Battery + board mounts (optional)</t>
        </is>
      </c>
      <c r="D33" s="8" t="n">
        <v>1</v>
      </c>
      <c r="E33" s="9" t="inlineStr">
        <is>
          <t>Or just use the 3M squares above</t>
        </is>
      </c>
      <c r="F33" s="8" t="inlineStr">
        <is>
          <t>3D print</t>
        </is>
      </c>
      <c r="G33" s="10" t="n">
        <v>0</v>
      </c>
      <c r="H33" s="10">
        <f>D33*G33</f>
        <v/>
      </c>
      <c r="I33" s="8" t="inlineStr"/>
    </row>
    <row r="34">
      <c r="A34" s="8" t="inlineStr">
        <is>
          <t>Have</t>
        </is>
      </c>
      <c r="B34" s="8" t="inlineStr">
        <is>
          <t>Compute</t>
        </is>
      </c>
      <c r="C34" s="9" t="inlineStr">
        <is>
          <t>Raspberry Pi Zero 2 W</t>
        </is>
      </c>
      <c r="D34" s="8" t="n">
        <v>1</v>
      </c>
      <c r="E34" s="9" t="inlineStr">
        <is>
          <t>In your Pi kit</t>
        </is>
      </c>
      <c r="F34" s="8" t="inlineStr">
        <is>
          <t>(have)</t>
        </is>
      </c>
      <c r="G34" s="10" t="n">
        <v>0</v>
      </c>
      <c r="H34" s="10">
        <f>D34*G34</f>
        <v/>
      </c>
      <c r="I34" s="8" t="inlineStr"/>
    </row>
    <row r="35">
      <c r="A35" s="8" t="inlineStr">
        <is>
          <t>Have</t>
        </is>
      </c>
      <c r="B35" s="8" t="inlineStr">
        <is>
          <t>Compute</t>
        </is>
      </c>
      <c r="C35" s="9" t="inlineStr">
        <is>
          <t>2x20 GPIO header</t>
        </is>
      </c>
      <c r="D35" s="8" t="n">
        <v>1</v>
      </c>
      <c r="E35" s="9" t="inlineStr">
        <is>
          <t>In your Pi kit - needs SOLDERING onto the Pi</t>
        </is>
      </c>
      <c r="F35" s="8" t="inlineStr">
        <is>
          <t>(have)</t>
        </is>
      </c>
      <c r="G35" s="10" t="n">
        <v>0</v>
      </c>
      <c r="H35" s="10">
        <f>D35*G35</f>
        <v/>
      </c>
      <c r="I35" s="8" t="inlineStr"/>
    </row>
    <row r="36">
      <c r="A36" s="8" t="inlineStr">
        <is>
          <t>Have</t>
        </is>
      </c>
      <c r="B36" s="8" t="inlineStr">
        <is>
          <t>Compute</t>
        </is>
      </c>
      <c r="C36" s="9" t="inlineStr">
        <is>
          <t>Cables incl. USB power cable</t>
        </is>
      </c>
      <c r="D36" s="8" t="n">
        <v>1</v>
      </c>
      <c r="E36" s="9" t="inlineStr">
        <is>
          <t>In your Pi kit (bench power/flashing; on-robot the Pi runs off the 5V rail)</t>
        </is>
      </c>
      <c r="F36" s="8" t="inlineStr">
        <is>
          <t>(have)</t>
        </is>
      </c>
      <c r="G36" s="10" t="n">
        <v>0</v>
      </c>
      <c r="H36" s="10">
        <f>D36*G36</f>
        <v/>
      </c>
      <c r="I36" s="8" t="inlineStr"/>
    </row>
    <row r="37">
      <c r="A37" s="8" t="inlineStr">
        <is>
          <t>Have</t>
        </is>
      </c>
      <c r="B37" s="8" t="inlineStr">
        <is>
          <t>Chassis</t>
        </is>
      </c>
      <c r="C37" s="9" t="inlineStr">
        <is>
          <t>Adafruit 3216 chassis - frame + caster ball + hardware</t>
        </is>
      </c>
      <c r="D37" s="8" t="n">
        <v>1</v>
      </c>
      <c r="E37" s="9" t="inlineStr">
        <is>
          <t>Your base kit = the robot body</t>
        </is>
      </c>
      <c r="F37" s="8" t="inlineStr">
        <is>
          <t>(have)</t>
        </is>
      </c>
      <c r="G37" s="10" t="n">
        <v>0</v>
      </c>
      <c r="H37" s="10">
        <f>D37*G37</f>
        <v/>
      </c>
      <c r="I37" s="8" t="inlineStr"/>
    </row>
    <row r="38">
      <c r="A38" s="8" t="inlineStr">
        <is>
          <t>Spare</t>
        </is>
      </c>
      <c r="B38" s="8" t="inlineStr">
        <is>
          <t>Chassis</t>
        </is>
      </c>
      <c r="C38" s="9" t="inlineStr">
        <is>
          <t>3216 bundled DC motors + 2 wheels</t>
        </is>
      </c>
      <c r="D38" s="8" t="n">
        <v>1</v>
      </c>
      <c r="E38" s="9" t="inlineStr">
        <is>
          <t>Superseded by the N20 drivetrain - keep as spares</t>
        </is>
      </c>
      <c r="F38" s="8" t="inlineStr">
        <is>
          <t>(have)</t>
        </is>
      </c>
      <c r="G38" s="10" t="n">
        <v>0</v>
      </c>
      <c r="H38" s="10">
        <f>D38*G38</f>
        <v/>
      </c>
      <c r="I38" s="8" t="inlineStr"/>
    </row>
  </sheetData>
  <autoFilter ref="A8:I38"/>
  <mergeCells count="2">
    <mergeCell ref="A1:I1"/>
    <mergeCell ref="A2:I2"/>
  </mergeCells>
  <conditionalFormatting sqref="A9:A38">
    <cfRule type="cellIs" priority="1" operator="equal" dxfId="0">
      <formula>"Buy"</formula>
    </cfRule>
    <cfRule type="cellIs" priority="2" operator="equal" dxfId="1">
      <formula>"Have"</formula>
    </cfRule>
    <cfRule type="cellIs" priority="3" operator="equal" dxfId="2">
      <formula>"Print"</formula>
    </cfRule>
    <cfRule type="cellIs" priority="4" operator="equal" dxfId="3">
      <formula>"Spare"</formula>
    </cfRule>
  </conditionalFormatting>
  <dataValidations count="1">
    <dataValidation sqref="A9:A38" showDropDown="0" showInputMessage="0" showErrorMessage="0" allowBlank="1" type="list">
      <formula1>"Buy,Print,Have,Spare"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Tools (not consumed - check you have these)</t>
        </is>
      </c>
    </row>
    <row r="3">
      <c r="A3" s="11" t="inlineStr">
        <is>
          <t>Tool</t>
        </is>
      </c>
      <c r="B3" s="11" t="inlineStr">
        <is>
          <t>Needed for</t>
        </is>
      </c>
    </row>
    <row r="4">
      <c r="A4" s="12" t="inlineStr">
        <is>
          <t>Soldering iron + solder</t>
        </is>
      </c>
      <c r="B4" s="9" t="inlineStr">
        <is>
          <t>REQUIRED - solder the 40-pin header to the Pi + wire boards/motors (GrowBot: 'you will need to solder a 40-pin header')</t>
        </is>
      </c>
    </row>
    <row r="5">
      <c r="A5" s="12" t="inlineStr">
        <is>
          <t>Multimeter</t>
        </is>
      </c>
      <c r="B5" s="9" t="inlineStr">
        <is>
          <t>REQUIRED - set each MT3608's output voltage BEFORE connecting the Pi (GrowBot setup note #1; they ship turned up high)</t>
        </is>
      </c>
    </row>
    <row r="6">
      <c r="A6" s="12" t="inlineStr">
        <is>
          <t>3D printer</t>
        </is>
      </c>
      <c r="B6" s="9" t="inlineStr">
        <is>
          <t>You have it - for the Print rows</t>
        </is>
      </c>
    </row>
    <row r="7">
      <c r="A7" s="12" t="inlineStr">
        <is>
          <t>Digital calipers</t>
        </is>
      </c>
      <c r="B7" s="9" t="inlineStr">
        <is>
          <t>Measure real wheel OD + track for the sim refit</t>
        </is>
      </c>
    </row>
    <row r="8">
      <c r="A8" s="12" t="inlineStr">
        <is>
          <t>Kitchen scale</t>
        </is>
      </c>
      <c r="B8" s="9" t="inlineStr">
        <is>
          <t>Assembled weight for the sim refit</t>
        </is>
      </c>
    </row>
    <row r="9">
      <c r="A9" s="12" t="inlineStr">
        <is>
          <t>Small screwdriver / hex set</t>
        </is>
      </c>
      <c r="B9" s="9" t="inlineStr">
        <is>
          <t>Assembly</t>
        </is>
      </c>
    </row>
    <row r="10">
      <c r="A10" s="12" t="inlineStr">
        <is>
          <t>Wire strippers / flush cutters</t>
        </is>
      </c>
      <c r="B10" s="9" t="inlineStr">
        <is>
          <t>Wiring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2026-06-28T23:29:41Z</dcterms:created>
  <dcterms:modified xsi:type="dcterms:W3CDTF">2026-06-28T23:29:41Z</dcterms:modified>
</cp:coreProperties>
</file>