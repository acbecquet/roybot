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Tools" sheetId="2" state="visible" r:id="rId2"/>
  </sheets>
  <definedNames>
    <definedName name="_xlnm._FilterDatabase" localSheetId="0" hidden="1">'BOM'!$A$8:$I$45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1F3A8A"/>
      <sz val="15"/>
    </font>
    <font>
      <i val="1"/>
      <color rgb="00666666"/>
      <sz val="10"/>
    </font>
    <font>
      <b val="1"/>
    </font>
    <font>
      <b val="1"/>
      <color rgb="002E7D32"/>
    </font>
    <font>
      <b val="1"/>
      <color rgb="00B3261E"/>
    </font>
    <font>
      <b val="1"/>
      <color rgb="000000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164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7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3F2E5"/>
        </patternFill>
      </fill>
    </dxf>
    <dxf>
      <fill>
        <patternFill patternType="solid">
          <fgColor rgb="00FBE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0" customWidth="1" min="3" max="3"/>
    <col width="5" customWidth="1" min="4" max="4"/>
    <col width="44" customWidth="1" min="5" max="5"/>
    <col width="22" customWidth="1" min="6" max="6"/>
    <col width="13" customWidth="1" min="7" max="7"/>
    <col width="13" customWidth="1" min="8" max="8"/>
    <col width="24" customWidth="1" min="9" max="9"/>
  </cols>
  <sheetData>
    <row r="1">
      <c r="A1" s="1" t="inlineStr">
        <is>
          <t>Roybot - Final-Product Bill of Materials</t>
        </is>
      </c>
    </row>
    <row r="2" ht="42" customHeight="1">
      <c r="A2" s="2" t="inlineStr">
        <is>
          <t>Everything for the complete bot + self-charging dock. Flip Status (Purchased / To buy) as you order - colors and the totals below follow. Prices are rough ballparks, not quotes. Note: N20 mounting to the 3216 frame may need a small printed adapter.</t>
        </is>
      </c>
    </row>
    <row r="4">
      <c r="F4" s="3" t="inlineStr">
        <is>
          <t>Already spent (purchased):</t>
        </is>
      </c>
      <c r="H4" s="4">
        <f>SUMIF(A9:A45,"Purchased",H9:H45)</f>
        <v/>
      </c>
    </row>
    <row r="5">
      <c r="F5" s="3" t="inlineStr">
        <is>
          <t>Still to buy:</t>
        </is>
      </c>
      <c r="H5" s="5">
        <f>SUMIF(A9:A45,"To buy",H9:H45)</f>
        <v/>
      </c>
    </row>
    <row r="6">
      <c r="F6" s="3" t="inlineStr">
        <is>
          <t>FINAL-PRODUCT TOTAL:</t>
        </is>
      </c>
      <c r="H6" s="6">
        <f>SUM(H9:H45)</f>
        <v/>
      </c>
    </row>
    <row r="8">
      <c r="A8" s="7" t="inlineStr">
        <is>
          <t>Status</t>
        </is>
      </c>
      <c r="B8" s="7" t="inlineStr">
        <is>
          <t>Subsystem</t>
        </is>
      </c>
      <c r="C8" s="7" t="inlineStr">
        <is>
          <t>Component</t>
        </is>
      </c>
      <c r="D8" s="7" t="inlineStr">
        <is>
          <t>Qty</t>
        </is>
      </c>
      <c r="E8" s="7" t="inlineStr">
        <is>
          <t>Key spec / purpose</t>
        </is>
      </c>
      <c r="F8" s="7" t="inlineStr">
        <is>
          <t>Suggested source</t>
        </is>
      </c>
      <c r="G8" s="7" t="inlineStr">
        <is>
          <t>Est. unit (USD)</t>
        </is>
      </c>
      <c r="H8" s="7" t="inlineStr">
        <is>
          <t>Est. line (USD)</t>
        </is>
      </c>
      <c r="I8" s="7" t="inlineStr">
        <is>
          <t>Link / Part # (you fill)</t>
        </is>
      </c>
    </row>
    <row r="9">
      <c r="A9" s="8" t="inlineStr">
        <is>
          <t>Purchased</t>
        </is>
      </c>
      <c r="B9" s="8" t="inlineStr">
        <is>
          <t>Bot</t>
        </is>
      </c>
      <c r="C9" s="9" t="inlineStr">
        <is>
          <t>Adafruit 3216 Mini Round Robot Chassis Kit</t>
        </is>
      </c>
      <c r="D9" s="8" t="n">
        <v>1</v>
      </c>
      <c r="E9" s="9" t="inlineStr">
        <is>
          <t>The bot body: round aluminum frame + caster ball. (Its 2 DC motors + 2 wheels are now SPARE - superseded by the N20 upgrade.)</t>
        </is>
      </c>
      <c r="F9" s="8" t="inlineStr">
        <is>
          <t>Adafruit / reseller</t>
        </is>
      </c>
      <c r="G9" s="10" t="n">
        <v>20</v>
      </c>
      <c r="H9" s="10">
        <f>D9*G9</f>
        <v/>
      </c>
      <c r="I9" s="8" t="inlineStr"/>
    </row>
    <row r="10">
      <c r="A10" s="8" t="inlineStr">
        <is>
          <t>Purchased</t>
        </is>
      </c>
      <c r="B10" s="8" t="inlineStr">
        <is>
          <t>Compute</t>
        </is>
      </c>
      <c r="C10" s="9" t="inlineStr">
        <is>
          <t>Raspberry Pi Zero 2 W - full setup kit</t>
        </is>
      </c>
      <c r="D10" s="8" t="n">
        <v>1</v>
      </c>
      <c r="E10" s="9" t="inlineStr">
        <is>
          <t>The brain (runs the policy @50 Hz). Setup kit covers the sub-items below</t>
        </is>
      </c>
      <c r="F10" s="8" t="inlineStr">
        <is>
          <t>(owned)</t>
        </is>
      </c>
      <c r="G10" s="10" t="n">
        <v>35</v>
      </c>
      <c r="H10" s="10">
        <f>D10*G10</f>
        <v/>
      </c>
      <c r="I10" s="8" t="inlineStr"/>
    </row>
    <row r="11">
      <c r="A11" s="8" t="inlineStr">
        <is>
          <t>Purchased</t>
        </is>
      </c>
      <c r="B11" s="8" t="inlineStr">
        <is>
          <t>Compute</t>
        </is>
      </c>
      <c r="C11" s="9" t="inlineStr">
        <is>
          <t xml:space="preserve">  - microSD card (preloaded)</t>
        </is>
      </c>
      <c r="D11" s="8" t="n">
        <v>1</v>
      </c>
      <c r="E11" s="9" t="inlineStr">
        <is>
          <t>In the Pi setup kit</t>
        </is>
      </c>
      <c r="F11" s="8" t="inlineStr">
        <is>
          <t>(Pi kit)</t>
        </is>
      </c>
      <c r="G11" s="10" t="n">
        <v>0</v>
      </c>
      <c r="H11" s="10">
        <f>D11*G11</f>
        <v/>
      </c>
      <c r="I11" s="8" t="inlineStr"/>
    </row>
    <row r="12">
      <c r="A12" s="8" t="inlineStr">
        <is>
          <t>Purchased</t>
        </is>
      </c>
      <c r="B12" s="8" t="inlineStr">
        <is>
          <t>Compute</t>
        </is>
      </c>
      <c r="C12" s="9" t="inlineStr">
        <is>
          <t xml:space="preserve">  - USB power supply</t>
        </is>
      </c>
      <c r="D12" s="8" t="n">
        <v>1</v>
      </c>
      <c r="E12" s="9" t="inlineStr">
        <is>
          <t>In the Pi setup kit</t>
        </is>
      </c>
      <c r="F12" s="8" t="inlineStr">
        <is>
          <t>(Pi kit)</t>
        </is>
      </c>
      <c r="G12" s="10" t="n">
        <v>0</v>
      </c>
      <c r="H12" s="10">
        <f>D12*G12</f>
        <v/>
      </c>
      <c r="I12" s="8" t="inlineStr"/>
    </row>
    <row r="13">
      <c r="A13" s="8" t="inlineStr">
        <is>
          <t>Purchased</t>
        </is>
      </c>
      <c r="B13" s="8" t="inlineStr">
        <is>
          <t>Compute</t>
        </is>
      </c>
      <c r="C13" s="9" t="inlineStr">
        <is>
          <t xml:space="preserve">  - GPIO headers + adapters + case</t>
        </is>
      </c>
      <c r="D13" s="8" t="n">
        <v>1</v>
      </c>
      <c r="E13" s="9" t="inlineStr">
        <is>
          <t>In the Pi setup kit</t>
        </is>
      </c>
      <c r="F13" s="8" t="inlineStr">
        <is>
          <t>(Pi kit)</t>
        </is>
      </c>
      <c r="G13" s="10" t="n">
        <v>0</v>
      </c>
      <c r="H13" s="10">
        <f>D13*G13</f>
        <v/>
      </c>
      <c r="I13" s="8" t="inlineStr"/>
    </row>
    <row r="14">
      <c r="A14" s="8" t="inlineStr">
        <is>
          <t>To buy</t>
        </is>
      </c>
      <c r="B14" s="8" t="inlineStr">
        <is>
          <t>Drivetrain</t>
        </is>
      </c>
      <c r="C14" s="9" t="inlineStr">
        <is>
          <t>N20 gearmotor w/ magnetic encoder, 6 V</t>
        </is>
      </c>
      <c r="D14" s="8" t="n">
        <v>2</v>
      </c>
      <c r="E14" s="9" t="inlineStr">
        <is>
          <t>Final drivetrain: closed-loop speed + odometry (needed for docking). Pick gear ratio for speed/torque</t>
        </is>
      </c>
      <c r="F14" s="8" t="inlineStr">
        <is>
          <t>Pololu</t>
        </is>
      </c>
      <c r="G14" s="10" t="n">
        <v>9</v>
      </c>
      <c r="H14" s="10">
        <f>D14*G14</f>
        <v/>
      </c>
      <c r="I14" s="8" t="inlineStr"/>
    </row>
    <row r="15">
      <c r="A15" s="8" t="inlineStr">
        <is>
          <t>To buy</t>
        </is>
      </c>
      <c r="B15" s="8" t="inlineStr">
        <is>
          <t>Drivetrain</t>
        </is>
      </c>
      <c r="C15" s="9" t="inlineStr">
        <is>
          <t>N20 motor bracket / mount</t>
        </is>
      </c>
      <c r="D15" s="8" t="n">
        <v>2</v>
      </c>
      <c r="E15" s="9" t="inlineStr">
        <is>
          <t>Mount N20s to the 3216 frame - likely needs a small printed adapter to fit the frame's hole pattern</t>
        </is>
      </c>
      <c r="F15" s="8" t="inlineStr">
        <is>
          <t>Pololu / Amazon</t>
        </is>
      </c>
      <c r="G15" s="10" t="n">
        <v>3</v>
      </c>
      <c r="H15" s="10">
        <f>D15*G15</f>
        <v/>
      </c>
      <c r="I15" s="8" t="inlineStr"/>
    </row>
    <row r="16">
      <c r="A16" s="8" t="inlineStr">
        <is>
          <t>To buy</t>
        </is>
      </c>
      <c r="B16" s="8" t="inlineStr">
        <is>
          <t>Drivetrain</t>
        </is>
      </c>
      <c r="C16" s="9" t="inlineStr">
        <is>
          <t>Wheel for N20 (3 mm D-shaft), ~60 mm</t>
        </is>
      </c>
      <c r="D16" s="8" t="n">
        <v>2</v>
      </c>
      <c r="E16" s="9" t="inlineStr">
        <is>
          <t>The 3216 wheels don't fit the N20 shaft</t>
        </is>
      </c>
      <c r="F16" s="8" t="inlineStr">
        <is>
          <t>Pololu / Amazon</t>
        </is>
      </c>
      <c r="G16" s="10" t="n">
        <v>4</v>
      </c>
      <c r="H16" s="10">
        <f>D16*G16</f>
        <v/>
      </c>
      <c r="I16" s="8" t="inlineStr"/>
    </row>
    <row r="17">
      <c r="A17" s="8" t="inlineStr">
        <is>
          <t>To buy</t>
        </is>
      </c>
      <c r="B17" s="8" t="inlineStr">
        <is>
          <t>Drivetrain</t>
        </is>
      </c>
      <c r="C17" s="9" t="inlineStr">
        <is>
          <t>TB6612FNG dual H-bridge breakout</t>
        </is>
      </c>
      <c r="D17" s="8" t="n">
        <v>1</v>
      </c>
      <c r="E17" s="9" t="inlineStr">
        <is>
          <t>Motor driver (efficient; chosen over DRV8833/L298N)</t>
        </is>
      </c>
      <c r="F17" s="8" t="inlineStr">
        <is>
          <t>Adafruit / Pololu</t>
        </is>
      </c>
      <c r="G17" s="10" t="n">
        <v>5</v>
      </c>
      <c r="H17" s="10">
        <f>D17*G17</f>
        <v/>
      </c>
      <c r="I17" s="8" t="inlineStr"/>
    </row>
    <row r="18">
      <c r="A18" s="8" t="inlineStr">
        <is>
          <t>To buy</t>
        </is>
      </c>
      <c r="B18" s="8" t="inlineStr">
        <is>
          <t>Sensors</t>
        </is>
      </c>
      <c r="C18" s="9" t="inlineStr">
        <is>
          <t>MPU-6050 IMU</t>
        </is>
      </c>
      <c r="D18" s="8" t="n">
        <v>1</v>
      </c>
      <c r="E18" s="9" t="inlineStr">
        <is>
          <t>Roll/pitch + tip/stall reflexes; proprioception for the policy</t>
        </is>
      </c>
      <c r="F18" s="8" t="inlineStr">
        <is>
          <t>Amazon</t>
        </is>
      </c>
      <c r="G18" s="10" t="n">
        <v>4</v>
      </c>
      <c r="H18" s="10">
        <f>D18*G18</f>
        <v/>
      </c>
      <c r="I18" s="8" t="inlineStr"/>
    </row>
    <row r="19">
      <c r="A19" s="8" t="inlineStr">
        <is>
          <t>To buy</t>
        </is>
      </c>
      <c r="B19" s="8" t="inlineStr">
        <is>
          <t>Sensors</t>
        </is>
      </c>
      <c r="C19" s="9" t="inlineStr">
        <is>
          <t>OV5647 camera (Pi-compatible)</t>
        </is>
      </c>
      <c r="D19" s="8" t="n">
        <v>1</v>
      </c>
      <c r="E19" s="9" t="inlineStr">
        <is>
          <t>Cat tracking (perception, #2)</t>
        </is>
      </c>
      <c r="F19" s="8" t="inlineStr">
        <is>
          <t>Amazon</t>
        </is>
      </c>
      <c r="G19" s="10" t="n">
        <v>10</v>
      </c>
      <c r="H19" s="10">
        <f>D19*G19</f>
        <v/>
      </c>
      <c r="I19" s="8" t="inlineStr"/>
    </row>
    <row r="20">
      <c r="A20" s="8" t="inlineStr">
        <is>
          <t>To buy</t>
        </is>
      </c>
      <c r="B20" s="8" t="inlineStr">
        <is>
          <t>Sensors</t>
        </is>
      </c>
      <c r="C20" s="9" t="inlineStr">
        <is>
          <t>Pi Zero CSI ribbon (mini -&gt; standard)</t>
        </is>
      </c>
      <c r="D20" s="8" t="n">
        <v>1</v>
      </c>
      <c r="E20" s="9" t="inlineStr">
        <is>
          <t>Pi Zero needs the narrow CSI cable</t>
        </is>
      </c>
      <c r="F20" s="8" t="inlineStr">
        <is>
          <t>Adafruit</t>
        </is>
      </c>
      <c r="G20" s="10" t="n">
        <v>3</v>
      </c>
      <c r="H20" s="10">
        <f>D20*G20</f>
        <v/>
      </c>
      <c r="I20" s="8" t="inlineStr"/>
    </row>
    <row r="21">
      <c r="A21" s="8" t="inlineStr">
        <is>
          <t>To buy</t>
        </is>
      </c>
      <c r="B21" s="8" t="inlineStr">
        <is>
          <t>Sensors</t>
        </is>
      </c>
      <c r="C21" s="9" t="inlineStr">
        <is>
          <t>IR reflectance cliff/edge sensor</t>
        </is>
      </c>
      <c r="D21" s="8" t="n">
        <v>2</v>
      </c>
      <c r="E21" s="9" t="inlineStr">
        <is>
          <t>Edge detect -&gt; back off (safety floor). Stops falls off tables/stairs</t>
        </is>
      </c>
      <c r="F21" s="8" t="inlineStr">
        <is>
          <t>Amazon</t>
        </is>
      </c>
      <c r="G21" s="10" t="n">
        <v>2</v>
      </c>
      <c r="H21" s="10">
        <f>D21*G21</f>
        <v/>
      </c>
      <c r="I21" s="8" t="inlineStr"/>
    </row>
    <row r="22">
      <c r="A22" s="8" t="inlineStr">
        <is>
          <t>To buy</t>
        </is>
      </c>
      <c r="B22" s="8" t="inlineStr">
        <is>
          <t>Sensors</t>
        </is>
      </c>
      <c r="C22" s="9" t="inlineStr">
        <is>
          <t>Bump microswitch (lever)</t>
        </is>
      </c>
      <c r="D22" s="8" t="n">
        <v>2</v>
      </c>
      <c r="E22" s="9" t="inlineStr">
        <is>
          <t>Front bump detect -&gt; back off</t>
        </is>
      </c>
      <c r="F22" s="8" t="inlineStr">
        <is>
          <t>Amazon</t>
        </is>
      </c>
      <c r="G22" s="10" t="n">
        <v>1</v>
      </c>
      <c r="H22" s="10">
        <f>D22*G22</f>
        <v/>
      </c>
      <c r="I22" s="8" t="inlineStr"/>
    </row>
    <row r="23">
      <c r="A23" s="8" t="inlineStr">
        <is>
          <t>To buy</t>
        </is>
      </c>
      <c r="B23" s="8" t="inlineStr">
        <is>
          <t>Audio</t>
        </is>
      </c>
      <c r="C23" s="9" t="inlineStr">
        <is>
          <t>INMP441 I2S microphone</t>
        </is>
      </c>
      <c r="D23" s="8" t="n">
        <v>1</v>
      </c>
      <c r="E23" s="9" t="inlineStr">
        <is>
          <t>Wake-word / voice in (#5)</t>
        </is>
      </c>
      <c r="F23" s="8" t="inlineStr">
        <is>
          <t>Amazon</t>
        </is>
      </c>
      <c r="G23" s="10" t="n">
        <v>5</v>
      </c>
      <c r="H23" s="10">
        <f>D23*G23</f>
        <v/>
      </c>
      <c r="I23" s="8" t="inlineStr"/>
    </row>
    <row r="24">
      <c r="A24" s="8" t="inlineStr">
        <is>
          <t>To buy</t>
        </is>
      </c>
      <c r="B24" s="8" t="inlineStr">
        <is>
          <t>Audio</t>
        </is>
      </c>
      <c r="C24" s="9" t="inlineStr">
        <is>
          <t>MAX98357A I2S amplifier</t>
        </is>
      </c>
      <c r="D24" s="8" t="n">
        <v>1</v>
      </c>
      <c r="E24" s="9" t="inlineStr">
        <is>
          <t>Speaker driver (voice reports #5)</t>
        </is>
      </c>
      <c r="F24" s="8" t="inlineStr">
        <is>
          <t>Adafruit</t>
        </is>
      </c>
      <c r="G24" s="10" t="n">
        <v>6</v>
      </c>
      <c r="H24" s="10">
        <f>D24*G24</f>
        <v/>
      </c>
      <c r="I24" s="8" t="inlineStr"/>
    </row>
    <row r="25">
      <c r="A25" s="8" t="inlineStr">
        <is>
          <t>To buy</t>
        </is>
      </c>
      <c r="B25" s="8" t="inlineStr">
        <is>
          <t>Audio</t>
        </is>
      </c>
      <c r="C25" s="9" t="inlineStr">
        <is>
          <t>Speaker 4-8 ohm (small)</t>
        </is>
      </c>
      <c r="D25" s="8" t="n">
        <v>1</v>
      </c>
      <c r="E25" s="9" t="inlineStr">
        <is>
          <t>Audio out</t>
        </is>
      </c>
      <c r="F25" s="8" t="inlineStr">
        <is>
          <t>Amazon</t>
        </is>
      </c>
      <c r="G25" s="10" t="n">
        <v>2</v>
      </c>
      <c r="H25" s="10">
        <f>D25*G25</f>
        <v/>
      </c>
      <c r="I25" s="8" t="inlineStr"/>
    </row>
    <row r="26">
      <c r="A26" s="8" t="inlineStr">
        <is>
          <t>To buy</t>
        </is>
      </c>
      <c r="B26" s="8" t="inlineStr">
        <is>
          <t>Expression</t>
        </is>
      </c>
      <c r="C26" s="9" t="inlineStr">
        <is>
          <t>WS2812 RGB LED ring</t>
        </is>
      </c>
      <c r="D26" s="8" t="n">
        <v>1</v>
      </c>
      <c r="E26" s="9" t="inlineStr">
        <is>
          <t>Expressive 'personality' output</t>
        </is>
      </c>
      <c r="F26" s="8" t="inlineStr">
        <is>
          <t>Amazon</t>
        </is>
      </c>
      <c r="G26" s="10" t="n">
        <v>8</v>
      </c>
      <c r="H26" s="10">
        <f>D26*G26</f>
        <v/>
      </c>
      <c r="I26" s="8" t="inlineStr"/>
    </row>
    <row r="27">
      <c r="A27" s="8" t="inlineStr">
        <is>
          <t>To buy</t>
        </is>
      </c>
      <c r="B27" s="8" t="inlineStr">
        <is>
          <t>Power</t>
        </is>
      </c>
      <c r="C27" s="9" t="inlineStr">
        <is>
          <t>LiPo battery 2S 7.4 V (small)</t>
        </is>
      </c>
      <c r="D27" s="8" t="n">
        <v>1</v>
      </c>
      <c r="E27" s="9" t="inlineStr">
        <is>
          <t>Main power for the 6 V N20s (PWM-limited). Couples to the charger/BMS choice</t>
        </is>
      </c>
      <c r="F27" s="8" t="inlineStr">
        <is>
          <t>HobbyKing / Amazon</t>
        </is>
      </c>
      <c r="G27" s="10" t="n">
        <v>12</v>
      </c>
      <c r="H27" s="10">
        <f>D27*G27</f>
        <v/>
      </c>
      <c r="I27" s="8" t="inlineStr"/>
    </row>
    <row r="28">
      <c r="A28" s="8" t="inlineStr">
        <is>
          <t>To buy</t>
        </is>
      </c>
      <c r="B28" s="8" t="inlineStr">
        <is>
          <t>Power</t>
        </is>
      </c>
      <c r="C28" s="9" t="inlineStr">
        <is>
          <t>5 V buck regulator (3 A)</t>
        </is>
      </c>
      <c r="D28" s="8" t="n">
        <v>1</v>
      </c>
      <c r="E28" s="9" t="inlineStr">
        <is>
          <t>Dedicated Pi rail; isolates Pi from motor surges</t>
        </is>
      </c>
      <c r="F28" s="8" t="inlineStr">
        <is>
          <t>Pololu / Amazon</t>
        </is>
      </c>
      <c r="G28" s="10" t="n">
        <v>5</v>
      </c>
      <c r="H28" s="10">
        <f>D28*G28</f>
        <v/>
      </c>
      <c r="I28" s="8" t="inlineStr"/>
    </row>
    <row r="29">
      <c r="A29" s="8" t="inlineStr">
        <is>
          <t>To buy</t>
        </is>
      </c>
      <c r="B29" s="8" t="inlineStr">
        <is>
          <t>Power</t>
        </is>
      </c>
      <c r="C29" s="9" t="inlineStr">
        <is>
          <t>Bulk capacitor 470-1000 uF</t>
        </is>
      </c>
      <c r="D29" s="8" t="n">
        <v>2</v>
      </c>
      <c r="E29" s="9" t="inlineStr">
        <is>
          <t>Brownout protection (Pi + motor rails)</t>
        </is>
      </c>
      <c r="F29" s="8" t="inlineStr">
        <is>
          <t>Amazon</t>
        </is>
      </c>
      <c r="G29" s="10" t="n">
        <v>1</v>
      </c>
      <c r="H29" s="10">
        <f>D29*G29</f>
        <v/>
      </c>
      <c r="I29" s="8" t="inlineStr"/>
    </row>
    <row r="30">
      <c r="A30" s="8" t="inlineStr">
        <is>
          <t>To buy</t>
        </is>
      </c>
      <c r="B30" s="8" t="inlineStr">
        <is>
          <t>Power</t>
        </is>
      </c>
      <c r="C30" s="9" t="inlineStr">
        <is>
          <t>2S LiPo BMS / protection + charge board</t>
        </is>
      </c>
      <c r="D30" s="8" t="n">
        <v>1</v>
      </c>
      <c r="E30" s="9" t="inlineStr">
        <is>
          <t>Safe charge/discharge; this is the on-bot side of docking</t>
        </is>
      </c>
      <c r="F30" s="8" t="inlineStr">
        <is>
          <t>Amazon</t>
        </is>
      </c>
      <c r="G30" s="10" t="n">
        <v>4</v>
      </c>
      <c r="H30" s="10">
        <f>D30*G30</f>
        <v/>
      </c>
      <c r="I30" s="8" t="inlineStr"/>
    </row>
    <row r="31">
      <c r="A31" s="8" t="inlineStr">
        <is>
          <t>To buy</t>
        </is>
      </c>
      <c r="B31" s="8" t="inlineStr">
        <is>
          <t>Power</t>
        </is>
      </c>
      <c r="C31" s="9" t="inlineStr">
        <is>
          <t>XT30 / JST battery connector set</t>
        </is>
      </c>
      <c r="D31" s="8" t="n">
        <v>1</v>
      </c>
      <c r="E31" s="9" t="inlineStr">
        <is>
          <t>Battery + charge connectors</t>
        </is>
      </c>
      <c r="F31" s="8" t="inlineStr">
        <is>
          <t>Amazon</t>
        </is>
      </c>
      <c r="G31" s="10" t="n">
        <v>3</v>
      </c>
      <c r="H31" s="10">
        <f>D31*G31</f>
        <v/>
      </c>
      <c r="I31" s="8" t="inlineStr"/>
    </row>
    <row r="32">
      <c r="A32" s="8" t="inlineStr">
        <is>
          <t>To buy</t>
        </is>
      </c>
      <c r="B32" s="8" t="inlineStr">
        <is>
          <t>Power</t>
        </is>
      </c>
      <c r="C32" s="9" t="inlineStr">
        <is>
          <t>Inline fuse + holder</t>
        </is>
      </c>
      <c r="D32" s="8" t="n">
        <v>1</v>
      </c>
      <c r="E32" s="9" t="inlineStr">
        <is>
          <t>Battery short protection</t>
        </is>
      </c>
      <c r="F32" s="8" t="inlineStr">
        <is>
          <t>Amazon</t>
        </is>
      </c>
      <c r="G32" s="10" t="n">
        <v>2</v>
      </c>
      <c r="H32" s="10">
        <f>D32*G32</f>
        <v/>
      </c>
      <c r="I32" s="8" t="inlineStr"/>
    </row>
    <row r="33">
      <c r="A33" s="8" t="inlineStr">
        <is>
          <t>To buy</t>
        </is>
      </c>
      <c r="B33" s="8" t="inlineStr">
        <is>
          <t>Power</t>
        </is>
      </c>
      <c r="C33" s="9" t="inlineStr">
        <is>
          <t>Power switch (SPST)</t>
        </is>
      </c>
      <c r="D33" s="8" t="n">
        <v>1</v>
      </c>
      <c r="E33" s="9" t="inlineStr">
        <is>
          <t>Main cutoff</t>
        </is>
      </c>
      <c r="F33" s="8" t="inlineStr">
        <is>
          <t>Amazon</t>
        </is>
      </c>
      <c r="G33" s="10" t="n">
        <v>2</v>
      </c>
      <c r="H33" s="10">
        <f>D33*G33</f>
        <v/>
      </c>
      <c r="I33" s="8" t="inlineStr"/>
    </row>
    <row r="34">
      <c r="A34" s="8" t="inlineStr">
        <is>
          <t>To buy</t>
        </is>
      </c>
      <c r="B34" s="8" t="inlineStr">
        <is>
          <t>Dock</t>
        </is>
      </c>
      <c r="C34" s="9" t="inlineStr">
        <is>
          <t>Pogo-pin charging contacts (bot + dock pair)</t>
        </is>
      </c>
      <c r="D34" s="8" t="n">
        <v>1</v>
      </c>
      <c r="E34" s="9" t="inlineStr">
        <is>
          <t>Spring-pin charge contacts for self-docking</t>
        </is>
      </c>
      <c r="F34" s="8" t="inlineStr">
        <is>
          <t>Amazon</t>
        </is>
      </c>
      <c r="G34" s="10" t="n">
        <v>6</v>
      </c>
      <c r="H34" s="10">
        <f>D34*G34</f>
        <v/>
      </c>
      <c r="I34" s="8" t="inlineStr"/>
    </row>
    <row r="35">
      <c r="A35" s="8" t="inlineStr">
        <is>
          <t>To buy</t>
        </is>
      </c>
      <c r="B35" s="8" t="inlineStr">
        <is>
          <t>Dock</t>
        </is>
      </c>
      <c r="C35" s="9" t="inlineStr">
        <is>
          <t>TSOP38238 IR receiver</t>
        </is>
      </c>
      <c r="D35" s="8" t="n">
        <v>1</v>
      </c>
      <c r="E35" s="9" t="inlineStr">
        <is>
          <t>On the bot: IR homing to the dock</t>
        </is>
      </c>
      <c r="F35" s="8" t="inlineStr">
        <is>
          <t>Amazon</t>
        </is>
      </c>
      <c r="G35" s="10" t="n">
        <v>2</v>
      </c>
      <c r="H35" s="10">
        <f>D35*G35</f>
        <v/>
      </c>
      <c r="I35" s="8" t="inlineStr"/>
    </row>
    <row r="36">
      <c r="A36" s="8" t="inlineStr">
        <is>
          <t>To buy</t>
        </is>
      </c>
      <c r="B36" s="8" t="inlineStr">
        <is>
          <t>Dock</t>
        </is>
      </c>
      <c r="C36" s="9" t="inlineStr">
        <is>
          <t>IR LED beacon + driver</t>
        </is>
      </c>
      <c r="D36" s="8" t="n">
        <v>1</v>
      </c>
      <c r="E36" s="9" t="inlineStr">
        <is>
          <t>On the dock: homing beacon</t>
        </is>
      </c>
      <c r="F36" s="8" t="inlineStr">
        <is>
          <t>Amazon</t>
        </is>
      </c>
      <c r="G36" s="10" t="n">
        <v>3</v>
      </c>
      <c r="H36" s="10">
        <f>D36*G36</f>
        <v/>
      </c>
      <c r="I36" s="8" t="inlineStr"/>
    </row>
    <row r="37">
      <c r="A37" s="8" t="inlineStr">
        <is>
          <t>To buy</t>
        </is>
      </c>
      <c r="B37" s="8" t="inlineStr">
        <is>
          <t>Dock</t>
        </is>
      </c>
      <c r="C37" s="9" t="inlineStr">
        <is>
          <t>Dock PSU (5 V / 2 A) + barrel jack</t>
        </is>
      </c>
      <c r="D37" s="8" t="n">
        <v>1</v>
      </c>
      <c r="E37" s="9" t="inlineStr">
        <is>
          <t>Powers the charging dock</t>
        </is>
      </c>
      <c r="F37" s="8" t="inlineStr">
        <is>
          <t>Amazon</t>
        </is>
      </c>
      <c r="G37" s="10" t="n">
        <v>8</v>
      </c>
      <c r="H37" s="10">
        <f>D37*G37</f>
        <v/>
      </c>
      <c r="I37" s="8" t="inlineStr"/>
    </row>
    <row r="38">
      <c r="A38" s="8" t="inlineStr">
        <is>
          <t>To buy</t>
        </is>
      </c>
      <c r="B38" s="8" t="inlineStr">
        <is>
          <t>Dock</t>
        </is>
      </c>
      <c r="C38" s="9" t="inlineStr">
        <is>
          <t>Dock base + alignment funnel (PETG print)</t>
        </is>
      </c>
      <c r="D38" s="8" t="n">
        <v>1</v>
      </c>
      <c r="E38" s="9" t="inlineStr">
        <is>
          <t>Passive funnel; printed</t>
        </is>
      </c>
      <c r="F38" s="8" t="inlineStr">
        <is>
          <t>(PETG)</t>
        </is>
      </c>
      <c r="G38" s="10" t="n">
        <v>0</v>
      </c>
      <c r="H38" s="10">
        <f>D38*G38</f>
        <v/>
      </c>
      <c r="I38" s="8" t="inlineStr"/>
    </row>
    <row r="39">
      <c r="A39" s="8" t="inlineStr">
        <is>
          <t>To buy</t>
        </is>
      </c>
      <c r="B39" s="8" t="inlineStr">
        <is>
          <t>Cat-safety</t>
        </is>
      </c>
      <c r="C39" s="9" t="inlineStr">
        <is>
          <t>Captive lure (feather/pom on short rigid/braided arm)</t>
        </is>
      </c>
      <c r="D39" s="8" t="n">
        <v>1</v>
      </c>
      <c r="E39" s="9" t="inlineStr">
        <is>
          <t>#1 hazard control: NO free end, over-molded. No loose string ever</t>
        </is>
      </c>
      <c r="F39" s="8" t="inlineStr">
        <is>
          <t>craft + over-mold</t>
        </is>
      </c>
      <c r="G39" s="10" t="n">
        <v>5</v>
      </c>
      <c r="H39" s="10">
        <f>D39*G39</f>
        <v/>
      </c>
      <c r="I39" s="8" t="inlineStr"/>
    </row>
    <row r="40">
      <c r="A40" s="8" t="inlineStr">
        <is>
          <t>To buy</t>
        </is>
      </c>
      <c r="B40" s="8" t="inlineStr">
        <is>
          <t>Structure</t>
        </is>
      </c>
      <c r="C40" s="9" t="inlineStr">
        <is>
          <t>PETG filament (known-safe) spool</t>
        </is>
      </c>
      <c r="D40" s="8" t="n">
        <v>1</v>
      </c>
      <c r="E40" s="9" t="inlineStr">
        <is>
          <t>Cover / wheel shroud / lure boom / dock funnel / N20 adapter prints</t>
        </is>
      </c>
      <c r="F40" s="8" t="inlineStr">
        <is>
          <t>Amazon</t>
        </is>
      </c>
      <c r="G40" s="10" t="n">
        <v>25</v>
      </c>
      <c r="H40" s="10">
        <f>D40*G40</f>
        <v/>
      </c>
      <c r="I40" s="8" t="inlineStr"/>
    </row>
    <row r="41">
      <c r="A41" s="8" t="inlineStr">
        <is>
          <t>To buy</t>
        </is>
      </c>
      <c r="B41" s="8" t="inlineStr">
        <is>
          <t>Structure</t>
        </is>
      </c>
      <c r="C41" s="9" t="inlineStr">
        <is>
          <t>Heat-set inserts + screws</t>
        </is>
      </c>
      <c r="D41" s="8" t="n">
        <v>1</v>
      </c>
      <c r="E41" s="9" t="inlineStr">
        <is>
          <t>Tool-locked battery hatch; captive fasteners</t>
        </is>
      </c>
      <c r="F41" s="8" t="inlineStr">
        <is>
          <t>Amazon</t>
        </is>
      </c>
      <c r="G41" s="10" t="n">
        <v>8</v>
      </c>
      <c r="H41" s="10">
        <f>D41*G41</f>
        <v/>
      </c>
      <c r="I41" s="8" t="inlineStr"/>
    </row>
    <row r="42">
      <c r="A42" s="8" t="inlineStr">
        <is>
          <t>To buy</t>
        </is>
      </c>
      <c r="B42" s="8" t="inlineStr">
        <is>
          <t>Wiring</t>
        </is>
      </c>
      <c r="C42" s="9" t="inlineStr">
        <is>
          <t>Silicone hookup wire (assorted AWG)</t>
        </is>
      </c>
      <c r="D42" s="8" t="n">
        <v>1</v>
      </c>
      <c r="E42" s="9" t="inlineStr">
        <is>
          <t>Motor + logic wiring</t>
        </is>
      </c>
      <c r="F42" s="8" t="inlineStr">
        <is>
          <t>Amazon</t>
        </is>
      </c>
      <c r="G42" s="10" t="n">
        <v>8</v>
      </c>
      <c r="H42" s="10">
        <f>D42*G42</f>
        <v/>
      </c>
      <c r="I42" s="8" t="inlineStr"/>
    </row>
    <row r="43">
      <c r="A43" s="8" t="inlineStr">
        <is>
          <t>To buy</t>
        </is>
      </c>
      <c r="B43" s="8" t="inlineStr">
        <is>
          <t>Wiring</t>
        </is>
      </c>
      <c r="C43" s="9" t="inlineStr">
        <is>
          <t>JST / Dupont connector kit</t>
        </is>
      </c>
      <c r="D43" s="8" t="n">
        <v>1</v>
      </c>
      <c r="E43" s="9" t="inlineStr">
        <is>
          <t>Removable connections</t>
        </is>
      </c>
      <c r="F43" s="8" t="inlineStr">
        <is>
          <t>Amazon</t>
        </is>
      </c>
      <c r="G43" s="10" t="n">
        <v>6</v>
      </c>
      <c r="H43" s="10">
        <f>D43*G43</f>
        <v/>
      </c>
      <c r="I43" s="8" t="inlineStr"/>
    </row>
    <row r="44">
      <c r="A44" s="8" t="inlineStr">
        <is>
          <t>To buy</t>
        </is>
      </c>
      <c r="B44" s="8" t="inlineStr">
        <is>
          <t>Wiring</t>
        </is>
      </c>
      <c r="C44" s="9" t="inlineStr">
        <is>
          <t>Standoffs / M2.5 hardware kit</t>
        </is>
      </c>
      <c r="D44" s="8" t="n">
        <v>1</v>
      </c>
      <c r="E44" s="9" t="inlineStr">
        <is>
          <t>Mount Pi + boards to the chassis</t>
        </is>
      </c>
      <c r="F44" s="8" t="inlineStr">
        <is>
          <t>Amazon</t>
        </is>
      </c>
      <c r="G44" s="10" t="n">
        <v>6</v>
      </c>
      <c r="H44" s="10">
        <f>D44*G44</f>
        <v/>
      </c>
      <c r="I44" s="8" t="inlineStr"/>
    </row>
    <row r="45">
      <c r="A45" s="8" t="inlineStr">
        <is>
          <t>To buy</t>
        </is>
      </c>
      <c r="B45" s="8" t="inlineStr">
        <is>
          <t>Wiring</t>
        </is>
      </c>
      <c r="C45" s="9" t="inlineStr">
        <is>
          <t>Heat-shrink assortment</t>
        </is>
      </c>
      <c r="D45" s="8" t="n">
        <v>1</v>
      </c>
      <c r="E45" s="9" t="inlineStr">
        <is>
          <t>Insulation</t>
        </is>
      </c>
      <c r="F45" s="8" t="inlineStr">
        <is>
          <t>Amazon</t>
        </is>
      </c>
      <c r="G45" s="10" t="n">
        <v>5</v>
      </c>
      <c r="H45" s="10">
        <f>D45*G45</f>
        <v/>
      </c>
      <c r="I45" s="8" t="inlineStr"/>
    </row>
  </sheetData>
  <autoFilter ref="A8:I45"/>
  <mergeCells count="2">
    <mergeCell ref="A1:I1"/>
    <mergeCell ref="A2:I2"/>
  </mergeCells>
  <conditionalFormatting sqref="A9:A45">
    <cfRule type="cellIs" priority="1" operator="equal" dxfId="0">
      <formula>"Purchased"</formula>
    </cfRule>
    <cfRule type="cellIs" priority="2" operator="equal" dxfId="1">
      <formula>"To buy"</formula>
    </cfRule>
  </conditionalFormatting>
  <dataValidations count="1">
    <dataValidation sqref="A9:A45" showDropDown="0" showInputMessage="0" showErrorMessage="0" allowBlank="1" type="list">
      <formula1>"Purchased,To buy"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</cols>
  <sheetData>
    <row r="1">
      <c r="A1" s="1" t="inlineStr">
        <is>
          <t>Tools (not consumed - reference)</t>
        </is>
      </c>
    </row>
    <row r="3">
      <c r="A3" s="11" t="inlineStr">
        <is>
          <t>Tool</t>
        </is>
      </c>
      <c r="B3" s="11" t="inlineStr">
        <is>
          <t>Used for</t>
        </is>
      </c>
    </row>
    <row r="4">
      <c r="A4" s="12" t="inlineStr">
        <is>
          <t>Soldering iron + solder</t>
        </is>
      </c>
      <c r="B4" s="12" t="inlineStr">
        <is>
          <t>Wiring the H-bridge, headers, power, encoders</t>
        </is>
      </c>
    </row>
    <row r="5">
      <c r="A5" s="12" t="inlineStr">
        <is>
          <t>Multimeter</t>
        </is>
      </c>
      <c r="B5" s="12" t="inlineStr">
        <is>
          <t>Continuity, voltage, current checks</t>
        </is>
      </c>
    </row>
    <row r="6">
      <c r="A6" s="12" t="inlineStr">
        <is>
          <t>Digital calipers</t>
        </is>
      </c>
      <c r="B6" s="12" t="inlineStr">
        <is>
          <t>The 4 sim-refit measurements (wheel OD, track, caster offset)</t>
        </is>
      </c>
    </row>
    <row r="7">
      <c r="A7" s="12" t="inlineStr">
        <is>
          <t>Kitchen scale</t>
        </is>
      </c>
      <c r="B7" s="12" t="inlineStr">
        <is>
          <t>Assembled weight for the sim refit</t>
        </is>
      </c>
    </row>
    <row r="8">
      <c r="A8" s="12" t="inlineStr">
        <is>
          <t>3D printer</t>
        </is>
      </c>
      <c r="B8" s="12" t="inlineStr">
        <is>
          <t>Cover / shroud / lure boom / dock funnel / N20 adapter (PETG)</t>
        </is>
      </c>
    </row>
    <row r="9">
      <c r="A9" s="12" t="inlineStr">
        <is>
          <t>Wire strippers / flush cutters</t>
        </is>
      </c>
      <c r="B9" s="12" t="inlineStr">
        <is>
          <t>Wiring</t>
        </is>
      </c>
    </row>
    <row r="10">
      <c r="A10" s="12" t="inlineStr">
        <is>
          <t>Small screwdriver + hex set</t>
        </is>
      </c>
      <c r="B10" s="12" t="inlineStr">
        <is>
          <t>Assembly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2026-06-24T05:22:38Z</dcterms:created>
  <dcterms:modified xsi:type="dcterms:W3CDTF">2026-06-24T05:22:38Z</dcterms:modified>
</cp:coreProperties>
</file>